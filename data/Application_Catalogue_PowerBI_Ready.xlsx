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euparks-my.sharepoint.com/personal/wanjun_evers_landal_org/Documents/Documents/Copilot/Application Catalog/Dashboard/Vendor-Governance-AI/02_Working/"/>
    </mc:Choice>
  </mc:AlternateContent>
  <xr:revisionPtr revIDLastSave="4" documentId="8_{D704B27C-3364-4163-80EF-ECF253ACFF5A}" xr6:coauthVersionLast="47" xr6:coauthVersionMax="47" xr10:uidLastSave="{82BFA9D7-C502-4C4C-B899-4AFD6EF0114E}"/>
  <bookViews>
    <workbookView xWindow="-108" yWindow="-108" windowWidth="23256" windowHeight="12456" xr2:uid="{02BC5482-B450-4B57-B22D-7044399FC055}"/>
  </bookViews>
  <sheets>
    <sheet name="ApplicationCatalogue" sheetId="1" r:id="rId1"/>
    <sheet name="Source_Values" sheetId="2" r:id="rId2"/>
    <sheet name="Data Dictionary" sheetId="3" r:id="rId3"/>
    <sheet name="Quality Summary" sheetId="4" r:id="rId4"/>
    <sheet name="Read Me"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5" i="4" l="1"/>
  <c r="B6" i="4"/>
  <c r="B7" i="4"/>
  <c r="B10" i="4"/>
  <c r="B11" i="4"/>
  <c r="B14" i="4"/>
  <c r="B15" i="4"/>
  <c r="B16" i="4"/>
  <c r="B17" i="4"/>
  <c r="B18" i="4"/>
  <c r="B21" i="4"/>
  <c r="B22" i="4"/>
  <c r="B23" i="4"/>
  <c r="B24" i="4"/>
  <c r="B27" i="4"/>
  <c r="B28" i="4"/>
  <c r="B29" i="4"/>
  <c r="B30" i="4"/>
  <c r="B33" i="4"/>
  <c r="B34" i="4"/>
  <c r="B35" i="4"/>
  <c r="B36" i="4"/>
  <c r="B37" i="4"/>
  <c r="B38" i="4"/>
  <c r="B39" i="4"/>
  <c r="B40" i="4"/>
  <c r="B41" i="4"/>
  <c r="B42" i="4"/>
  <c r="B43" i="4"/>
  <c r="B44" i="4"/>
  <c r="B45" i="4"/>
  <c r="B48" i="4"/>
  <c r="B49" i="4"/>
  <c r="B50" i="4"/>
  <c r="B51" i="4"/>
  <c r="B54" i="4"/>
  <c r="B55" i="4"/>
  <c r="B56" i="4"/>
  <c r="B59" i="4"/>
  <c r="B60" i="4"/>
</calcChain>
</file>

<file path=xl/sharedStrings.xml><?xml version="1.0" encoding="utf-8"?>
<sst xmlns="http://schemas.openxmlformats.org/spreadsheetml/2006/main" count="6039" uniqueCount="1160">
  <si>
    <t>ApplicationID</t>
  </si>
  <si>
    <t>SourceRow</t>
  </si>
  <si>
    <t>RecordOrigin</t>
  </si>
  <si>
    <t>Domain</t>
  </si>
  <si>
    <t>PortfolioStatus</t>
  </si>
  <si>
    <t>ApplicationName</t>
  </si>
  <si>
    <t>Description</t>
  </si>
  <si>
    <t>BusinessOwner</t>
  </si>
  <si>
    <t>BusinessSPOC</t>
  </si>
  <si>
    <t>ITOwner</t>
  </si>
  <si>
    <t>ITSPOC</t>
  </si>
  <si>
    <t>Comments</t>
  </si>
  <si>
    <t>ContractStartDate</t>
  </si>
  <si>
    <t>ContractEndDate</t>
  </si>
  <si>
    <t>RollingTerm</t>
  </si>
  <si>
    <t>NoticePeriod</t>
  </si>
  <si>
    <t>ContractStartText</t>
  </si>
  <si>
    <t>ContractEndText</t>
  </si>
  <si>
    <t>ContractDateIssue</t>
  </si>
  <si>
    <t>ContractDataStatus</t>
  </si>
  <si>
    <t>OwnershipDataStatus</t>
  </si>
  <si>
    <t>DataQualityStatus</t>
  </si>
  <si>
    <t>DataQualityIssueCount</t>
  </si>
  <si>
    <t>DataQualityNotes</t>
  </si>
  <si>
    <t>OpexSupplier</t>
  </si>
  <si>
    <t>OpexCriteria</t>
  </si>
  <si>
    <t>MergeReviewStatus</t>
  </si>
  <si>
    <t>APP-0001</t>
  </si>
  <si>
    <t>Original</t>
  </si>
  <si>
    <t>CMDO</t>
  </si>
  <si>
    <t>Keep</t>
  </si>
  <si>
    <t>Amplitude</t>
  </si>
  <si>
    <t>Product analytics for guest digital behaviour; funnel analysis, A/B testing, and UX insights.</t>
  </si>
  <si>
    <t>Zoran</t>
  </si>
  <si>
    <t>Tamer</t>
  </si>
  <si>
    <t>Prateek</t>
  </si>
  <si>
    <t>No rolling</t>
  </si>
  <si>
    <t>Not stated</t>
  </si>
  <si>
    <t>Partial</t>
  </si>
  <si>
    <t>Complete</t>
  </si>
  <si>
    <t>Review Required</t>
  </si>
  <si>
    <t>Contract data partial</t>
  </si>
  <si>
    <t>APP-0002</t>
  </si>
  <si>
    <t>Browserstack</t>
  </si>
  <si>
    <t>Cross-browser and device testing platform for QA.</t>
  </si>
  <si>
    <t>NA</t>
  </si>
  <si>
    <t>No contract</t>
  </si>
  <si>
    <t>No Contract</t>
  </si>
  <si>
    <t>OK</t>
  </si>
  <si>
    <t>APP-0003</t>
  </si>
  <si>
    <t>CHRO</t>
  </si>
  <si>
    <t>Canon Therefore</t>
  </si>
  <si>
    <t>Enterprise document management for storing and retrieving scanned and digital files.</t>
  </si>
  <si>
    <t>Marieke</t>
  </si>
  <si>
    <t>Jose Herstel</t>
  </si>
  <si>
    <t>Jiri</t>
  </si>
  <si>
    <t>3 months</t>
  </si>
  <si>
    <t>APP-0004</t>
  </si>
  <si>
    <t>Genie – Guest Services</t>
  </si>
  <si>
    <t>AI workspace (Databricks) for ad hoc analysis of contact centre volumes and resolution metrics.</t>
  </si>
  <si>
    <t>Remco</t>
  </si>
  <si>
    <t>Breno</t>
  </si>
  <si>
    <t>Not Stated</t>
  </si>
  <si>
    <t>Contract data not stated; Business SPOC missing (informational)</t>
  </si>
  <si>
    <t>APP-0005</t>
  </si>
  <si>
    <t>COO</t>
  </si>
  <si>
    <t>Eijsink BOOQ</t>
  </si>
  <si>
    <t>POS system for park restaurants, bars,; manages orders and transactions.</t>
  </si>
  <si>
    <t>Geeske</t>
  </si>
  <si>
    <t>Rogier</t>
  </si>
  <si>
    <t>Rolling yealy for 2 years</t>
  </si>
  <si>
    <t>6 months</t>
  </si>
  <si>
    <t>Contract End: 31/06/2028</t>
  </si>
  <si>
    <t>Invalid contract date; Contract data needs review (invalid date)</t>
  </si>
  <si>
    <t>APP-0006</t>
  </si>
  <si>
    <t>Guest Services Dashboard</t>
  </si>
  <si>
    <t>Reporting suite for contact volumes, resolution times, CSAT, and case type breakdown.</t>
  </si>
  <si>
    <t>Rolling yearly</t>
  </si>
  <si>
    <t>No fixed end date</t>
  </si>
  <si>
    <t>Business SPOC missing (informational)</t>
  </si>
  <si>
    <t>APP-0007</t>
  </si>
  <si>
    <t>CFO</t>
  </si>
  <si>
    <t>Unknown</t>
  </si>
  <si>
    <t>Netgain</t>
  </si>
  <si>
    <t>Lease accounting tool (ASC 842 / IFRS 16) for amortisation schedules and financial close.</t>
  </si>
  <si>
    <t>Freek</t>
  </si>
  <si>
    <t>Portfolio status unknown (source: '??'); Business SPOC missing (informational)</t>
  </si>
  <si>
    <t>APP-0008</t>
  </si>
  <si>
    <t>Channable / Feed</t>
  </si>
  <si>
    <t>Product feed management for comparison sites, metasearch engines, and paid media platforms.</t>
  </si>
  <si>
    <t>Christian</t>
  </si>
  <si>
    <t>APP-0009</t>
  </si>
  <si>
    <t>CIO</t>
  </si>
  <si>
    <t>Atlassian Suite</t>
  </si>
  <si>
    <t>Collaboration suite: Confluence (wiki), Jira (issue tracking), Bitbucket (source control).</t>
  </si>
  <si>
    <t>APP-0010</t>
  </si>
  <si>
    <t>Good Habitz - E-learning</t>
  </si>
  <si>
    <t>E-learning platform for employee training and development.</t>
  </si>
  <si>
    <t>Nienke</t>
  </si>
  <si>
    <t>TBD</t>
  </si>
  <si>
    <t>Rolling</t>
  </si>
  <si>
    <t>2 months</t>
  </si>
  <si>
    <t>APP-0011</t>
  </si>
  <si>
    <t>CDO</t>
  </si>
  <si>
    <t>Sunset</t>
  </si>
  <si>
    <t>Axxerion</t>
  </si>
  <si>
    <t>Legacy facilities management system retained for view-only access.</t>
  </si>
  <si>
    <t>Aad</t>
  </si>
  <si>
    <t>Contract data partial; Business SPOC missing (informational)</t>
  </si>
  <si>
    <t>APP-0012</t>
  </si>
  <si>
    <t>Bookings Dashboard</t>
  </si>
  <si>
    <t>Power BI dashboard for live and forward booking KPIs across all parks and business lines.</t>
  </si>
  <si>
    <t>Maaike</t>
  </si>
  <si>
    <t>Florence</t>
  </si>
  <si>
    <t>Contract data not stated</t>
  </si>
  <si>
    <t>APP-0013</t>
  </si>
  <si>
    <t>Boomi</t>
  </si>
  <si>
    <t>iPaaS for building and managing integrations across SaaS, on-prem, and data platforms.</t>
  </si>
  <si>
    <t>Mutual written agreement</t>
  </si>
  <si>
    <t>APP-0014</t>
  </si>
  <si>
    <t>CRO</t>
  </si>
  <si>
    <t>CHUBB</t>
  </si>
  <si>
    <t>Insurance platform for guest travel insurance at booking; handles policy issuance and claims.</t>
  </si>
  <si>
    <t>Marleen</t>
  </si>
  <si>
    <t>APP-0015</t>
  </si>
  <si>
    <t>Business Line &amp; Tour Operator Dashboard</t>
  </si>
  <si>
    <t>Revenue and bookings segmented by business line and individual tour operator partner.</t>
  </si>
  <si>
    <t>Danielle</t>
  </si>
  <si>
    <t>APP-0016</t>
  </si>
  <si>
    <t>Comrade (Brand Portal)</t>
  </si>
  <si>
    <t>Content platform for parks and franchise partners to access and publish brand-approved assets.</t>
  </si>
  <si>
    <t>Robbert</t>
  </si>
  <si>
    <t>APP-0017</t>
  </si>
  <si>
    <t>Comrads CMS (Brandportal)</t>
  </si>
  <si>
    <t>DAM solution storing and distributing brand assets, photography, and campaign materials.</t>
  </si>
  <si>
    <t>APP-0018</t>
  </si>
  <si>
    <t>HR Dashboard / HRM001</t>
  </si>
  <si>
    <t>FTE tracker monitoring headcount by role, department, and location.</t>
  </si>
  <si>
    <t>Gioia</t>
  </si>
  <si>
    <t>APP-0019</t>
  </si>
  <si>
    <t>Experian</t>
  </si>
  <si>
    <t>Online customer address validation service for Roompot and LGP.</t>
  </si>
  <si>
    <t>Annieke</t>
  </si>
  <si>
    <t>APP-0020</t>
  </si>
  <si>
    <t>Guest Experience (Amplixs)</t>
  </si>
  <si>
    <t>NPS and guest satisfaction dashboard aggregating post-stay survey scores by park and period.</t>
  </si>
  <si>
    <t>Silvia</t>
  </si>
  <si>
    <t>Rolling yealy</t>
  </si>
  <si>
    <t>APP-0021</t>
  </si>
  <si>
    <t>HR Dashboard / HRM002</t>
  </si>
  <si>
    <t>Dashboard tracking actual vs. planned hours worked for labour cost management.</t>
  </si>
  <si>
    <t>APP-0022</t>
  </si>
  <si>
    <t>Feefo</t>
  </si>
  <si>
    <t>Third-party verified review platform for post-stay guest ratings on the Landal website.</t>
  </si>
  <si>
    <t>Vipul</t>
  </si>
  <si>
    <t>APP-0023</t>
  </si>
  <si>
    <t>HVAC / InSmart</t>
  </si>
  <si>
    <t>Smart building and energy system monitoring and controlling HVAC across park accommodations.</t>
  </si>
  <si>
    <t>Menno</t>
  </si>
  <si>
    <t>Jan-Theo</t>
  </si>
  <si>
    <t>APP-0024</t>
  </si>
  <si>
    <t>GA4 / Google BigQuery / GCP</t>
  </si>
  <si>
    <t>Google analytics stack: GA4 for web tracking, BigQuery for data warehousing, GCP for analytics pipelines.</t>
  </si>
  <si>
    <t>APP-0025</t>
  </si>
  <si>
    <t>ChatGPT Enterprise</t>
  </si>
  <si>
    <t>OpenAI enterprise AI assistant for drafting, summarisation, and productivity tasks.</t>
  </si>
  <si>
    <t>APP-0026</t>
  </si>
  <si>
    <t>Genesys</t>
  </si>
  <si>
    <t>Cloud contact centre for inbound/outbound guest communications; integrates with Salesforce.</t>
  </si>
  <si>
    <t>APP-0027</t>
  </si>
  <si>
    <t>Maptiler</t>
  </si>
  <si>
    <t>Interactive park map provider for the Landal mobile app.</t>
  </si>
  <si>
    <t>Ilanit</t>
  </si>
  <si>
    <t>APP-0028</t>
  </si>
  <si>
    <t>Claude Enterprise</t>
  </si>
  <si>
    <t>Anthropic enterprise AI assistant for document analysis, reasoning, and AI-assisted workflows.</t>
  </si>
  <si>
    <t>APP-0029</t>
  </si>
  <si>
    <t>Mobile App</t>
  </si>
  <si>
    <t>Landal guest app (iOS/Android) for pre-arrival info, in-stay services, and activity booking.</t>
  </si>
  <si>
    <t>APP-0030</t>
  </si>
  <si>
    <t>NetGain – Punch Out</t>
  </si>
  <si>
    <t>Catalogue-based procurement module integrated with Netsuite for PO automation.</t>
  </si>
  <si>
    <t>APP-0031</t>
  </si>
  <si>
    <t>Invision Injixo</t>
  </si>
  <si>
    <t>Workforce management (WFM) module for contact centre scheduling and forecasting.</t>
  </si>
  <si>
    <t>APP-0032</t>
  </si>
  <si>
    <t>PromptWatch</t>
  </si>
  <si>
    <t>GEO monitoring tool tracking Landal brand visibility in AI-generated search responses.</t>
  </si>
  <si>
    <t>Brenda</t>
  </si>
  <si>
    <t>APP-0033</t>
  </si>
  <si>
    <t>Salesforce Marketing Cloud</t>
  </si>
  <si>
    <t>Enterprise marketing CRM for audience segmentation, email/SMS campaigns, and journey automation.</t>
  </si>
  <si>
    <t>Maggie</t>
  </si>
  <si>
    <t>No</t>
  </si>
  <si>
    <t>Contract End not after Contract Start; Contract data needs review (Contract End not after Contract Start)</t>
  </si>
  <si>
    <t>APP-0034</t>
  </si>
  <si>
    <t>Salesforce Service Cloud</t>
  </si>
  <si>
    <t>Customer service CRM for guest cases, complaints, and service requests across all contact channels.</t>
  </si>
  <si>
    <t>APP-0035</t>
  </si>
  <si>
    <t>Revisit</t>
  </si>
  <si>
    <t>Screaming Frog</t>
  </si>
  <si>
    <t>SEO crawler for technical audits; identifies broken links and on-site optimisation opportunities.</t>
  </si>
  <si>
    <t>Not found</t>
  </si>
  <si>
    <t>Contract data not stated; Possible duplicate of APP-0039 (source row 41)</t>
  </si>
  <si>
    <t>APP-0036</t>
  </si>
  <si>
    <t>Databricks</t>
  </si>
  <si>
    <t>Group data lakehouse hosting ETL pipelines, ML models, and feeding all Power BI reporting.</t>
  </si>
  <si>
    <t>APP-0037</t>
  </si>
  <si>
    <t>Scansys</t>
  </si>
  <si>
    <t>Document scanning and image capture software for Roompot finance operations.</t>
  </si>
  <si>
    <t>Jose</t>
  </si>
  <si>
    <t>Alfred</t>
  </si>
  <si>
    <t>No stated</t>
  </si>
  <si>
    <t>Portfolio status unknown (source: '??'); Contract data partial</t>
  </si>
  <si>
    <t>APP-0038</t>
  </si>
  <si>
    <t>Insmart</t>
  </si>
  <si>
    <t>Smart energy monitoring for real-time visibility of consumption at park and accommodation level.</t>
  </si>
  <si>
    <t>APP-0039</t>
  </si>
  <si>
    <t>ScreamingFrog</t>
  </si>
  <si>
    <t>SEO crawling and technical site audit tool (Roompot).</t>
  </si>
  <si>
    <t>Contract data not stated; Possible duplicate of APP-0035 (source row 37)</t>
  </si>
  <si>
    <t>APP-0040</t>
  </si>
  <si>
    <t>Sitecore</t>
  </si>
  <si>
    <t>Enterprise web CMS powering Landal consumer websites with personalisation and multi-language support.</t>
  </si>
  <si>
    <t>Margeritte</t>
  </si>
  <si>
    <t>Contract End: 31/11/2028</t>
  </si>
  <si>
    <t>APP-0041</t>
  </si>
  <si>
    <t>Cobase</t>
  </si>
  <si>
    <t>Multi-bank payment connectivity for centralised treasury and payment operations.</t>
  </si>
  <si>
    <t>Melissa</t>
  </si>
  <si>
    <t>Mike</t>
  </si>
  <si>
    <t>APP-0042</t>
  </si>
  <si>
    <t>Sitecore Content Hub</t>
  </si>
  <si>
    <t>DAM and content operations platform integrated with Sitecore; centralises media and workflows.</t>
  </si>
  <si>
    <t>APP-0043</t>
  </si>
  <si>
    <t>Docusign</t>
  </si>
  <si>
    <t>E-signature and digital contract management platform used group-wide.</t>
  </si>
  <si>
    <t>APP-0044</t>
  </si>
  <si>
    <t>Stellar AI</t>
  </si>
  <si>
    <t>AI voice assistant handling inbound guest FAQs and call routing in the contact centre.</t>
  </si>
  <si>
    <t>Contract End has no fixed end date but RollingTerm says no rolling; Contract data needs review (no fixed end date but no rolling); Business SPOC missing (informational)</t>
  </si>
  <si>
    <t>APP-0045</t>
  </si>
  <si>
    <t>Genie – Investment Management</t>
  </si>
  <si>
    <t>AI workspace (Databricks) for natural language queries on investment performance and Capex data.</t>
  </si>
  <si>
    <t>Nanne</t>
  </si>
  <si>
    <t>APP-0046</t>
  </si>
  <si>
    <t>Monthly Park Operations (MPO)</t>
  </si>
  <si>
    <t>Monthly FinOps report covering all park-level KPIs: revenue, costs, occupancy, and labour.</t>
  </si>
  <si>
    <t>Cees</t>
  </si>
  <si>
    <t>Eric van der Heijden</t>
  </si>
  <si>
    <t>APP-0047</t>
  </si>
  <si>
    <t>Elastic Search</t>
  </si>
  <si>
    <t>Distributed search engine powering availability and content search across the booking platform.</t>
  </si>
  <si>
    <t>APP-0048</t>
  </si>
  <si>
    <t>Voucherfly</t>
  </si>
  <si>
    <t>Voucher and gift card management for issuance, redemption, and tracking across channels.</t>
  </si>
  <si>
    <t>APP-0049</t>
  </si>
  <si>
    <t>Park Incidents Dashboard</t>
  </si>
  <si>
    <t>Health, safety, and quality monitoring tracking incidents, complaints, and compliance scores.</t>
  </si>
  <si>
    <t>Henco</t>
  </si>
  <si>
    <t>APP-0050</t>
  </si>
  <si>
    <t>Datev</t>
  </si>
  <si>
    <t>German tax and accounting software for VAT filing and statutory reporting in the DE market.</t>
  </si>
  <si>
    <t>Erik de Vos</t>
  </si>
  <si>
    <t>APP-0051</t>
  </si>
  <si>
    <t>Digipoort</t>
  </si>
  <si>
    <t>Government portal for submitting and monitoring DAC7 tax exports.</t>
  </si>
  <si>
    <t>APP-0052</t>
  </si>
  <si>
    <t>Intersolve ( duplicated with line 92)</t>
  </si>
  <si>
    <t>Gift Card website</t>
  </si>
  <si>
    <t>Missing IT Owner</t>
  </si>
  <si>
    <t>IT Owner missing; Possible duplicate of APP-0088 (source row 90)</t>
  </si>
  <si>
    <t>APP-0053</t>
  </si>
  <si>
    <t>Bynder</t>
  </si>
  <si>
    <t>Cloud-based digital asset management platform for marketing teams.</t>
  </si>
  <si>
    <t>Mageritte</t>
  </si>
  <si>
    <t>Portfolio status unknown (source: 'DONE'); Contract data partial</t>
  </si>
  <si>
    <t>APP-0054</t>
  </si>
  <si>
    <t>Convert.com</t>
  </si>
  <si>
    <t>A/B testing and conversion optimisation tool for park websites.</t>
  </si>
  <si>
    <t>Taner</t>
  </si>
  <si>
    <t>APP-0055</t>
  </si>
  <si>
    <t>Finance Dashboard / FIN701</t>
  </si>
  <si>
    <t>Dashboard showing net revenue after OTA commissions, partner fees, and distribution costs.</t>
  </si>
  <si>
    <t>Rosalie</t>
  </si>
  <si>
    <t>APP-0056</t>
  </si>
  <si>
    <t>Finance Dashboard / FIN703</t>
  </si>
  <si>
    <t>Non-recurring cost tracker for accurate budget vs. actuals reporting.</t>
  </si>
  <si>
    <t>APP-0057</t>
  </si>
  <si>
    <t>Finance Dashboard / FIN704</t>
  </si>
  <si>
    <t>Capex monitoring dashboard for commitments, spend-to-date, and project-level status.</t>
  </si>
  <si>
    <t>APP-0058</t>
  </si>
  <si>
    <t>Finance Dashboard / FIN705</t>
  </si>
  <si>
    <t>HQ overhead dashboard covering headcount, technology spend, and facilities by department.</t>
  </si>
  <si>
    <t>APP-0059</t>
  </si>
  <si>
    <t>Finance Dashboard / FIN706</t>
  </si>
  <si>
    <t>Park-level Opex dashboard covering maintenance, utilities, and F&amp;B operational costs.</t>
  </si>
  <si>
    <t>APP-0060</t>
  </si>
  <si>
    <t>Finance Dashboard / FIN940</t>
  </si>
  <si>
    <t>Dashboard tracking cleaning cost per accommodation, turnaround efficiency, and cost variances.</t>
  </si>
  <si>
    <t>APP-0061</t>
  </si>
  <si>
    <t>Sales Priority Dashboard</t>
  </si>
  <si>
    <t>Commercial performance dashboard tracking web sales priority and on-site booking conversion.</t>
  </si>
  <si>
    <t>Lisanne</t>
  </si>
  <si>
    <t>APP-0062</t>
  </si>
  <si>
    <t>Cookiebot</t>
  </si>
  <si>
    <t>Cookie consent and preference management platform for Roompot websites.</t>
  </si>
  <si>
    <t>APP-0063</t>
  </si>
  <si>
    <t>Coosto</t>
  </si>
  <si>
    <t>Social media monitoring and management platform.</t>
  </si>
  <si>
    <t>1 month</t>
  </si>
  <si>
    <t>APP-0064</t>
  </si>
  <si>
    <t>Deploytech</t>
  </si>
  <si>
    <t>Marketing campaign deployment tool.</t>
  </si>
  <si>
    <t>Nathaniel</t>
  </si>
  <si>
    <t>(Formally Clang/E-village) | No fixed end date</t>
  </si>
  <si>
    <t>APP-0065</t>
  </si>
  <si>
    <t>Salto</t>
  </si>
  <si>
    <t>Configuration management and version control for SaaS platforms (Salesforce, Netsuite).</t>
  </si>
  <si>
    <t>APP-0066</t>
  </si>
  <si>
    <t>EDM Dataquality? (Experian)</t>
  </si>
  <si>
    <t>Address validation and data quality tool for customer database management.</t>
  </si>
  <si>
    <t>Portfolio status unknown (source: 'DONE')</t>
  </si>
  <si>
    <t>APP-0067</t>
  </si>
  <si>
    <t>Genie – Commerce Bookings</t>
  </si>
  <si>
    <t>AI workspace (Databricks) for natural language queries on revenue, occupancy, and booking pace.</t>
  </si>
  <si>
    <t>APP-0068</t>
  </si>
  <si>
    <t>Tactical Forecasting Dashboard</t>
  </si>
  <si>
    <t>Short-term occupancy and revenue forecasting for dynamic resourcing and capacity planning.</t>
  </si>
  <si>
    <t>Rolf</t>
  </si>
  <si>
    <t>APP-0069</t>
  </si>
  <si>
    <t>Efficy (CRM Brokers)</t>
  </si>
  <si>
    <t>CRM for broker and franchise partner relationships; tracks leads, deals, and activity across Landal / Roompot.</t>
  </si>
  <si>
    <t>APP-0070</t>
  </si>
  <si>
    <t>Genie – P&amp;L and Capex</t>
  </si>
  <si>
    <t>AI workspace (Databricks) for natural language P&amp;L and Capex analysis for finance teams.</t>
  </si>
  <si>
    <t>APP-0071</t>
  </si>
  <si>
    <t>Genie – Procurement</t>
  </si>
  <si>
    <t>AI workspace (Databricks) for spend analysis, supplier benchmarking, and procurement queries.</t>
  </si>
  <si>
    <t>Sjored</t>
  </si>
  <si>
    <t>APP-0072</t>
  </si>
  <si>
    <t>Aloha (Index)</t>
  </si>
  <si>
    <t>F&amp;B POS system deployed in DE and DK park restaurants and outlets.</t>
  </si>
  <si>
    <t>Status 'Suneset' read as Sunset (spelling variant)</t>
  </si>
  <si>
    <t>APP-0073</t>
  </si>
  <si>
    <t>HR Dashboard / HRM003</t>
  </si>
  <si>
    <t>Sickness and absence tracking by department, park, and entity.</t>
  </si>
  <si>
    <t>Amelie</t>
  </si>
  <si>
    <t>APP-0074</t>
  </si>
  <si>
    <t>Butlaroo</t>
  </si>
  <si>
    <t>Mobile POS for table-side and outdoor ordering in park F&amp;B outlets.</t>
  </si>
  <si>
    <t>APP-0075</t>
  </si>
  <si>
    <t>De Ridder &amp; Den Hartog - Casman</t>
  </si>
  <si>
    <t>Retail POS for park shops; handles sales transactions and inventory.</t>
  </si>
  <si>
    <t>APP-0076</t>
  </si>
  <si>
    <t>Netsuite</t>
  </si>
  <si>
    <t>Core ERP covering general ledger, AP/AR, procurement, and multi-entity financials.</t>
  </si>
  <si>
    <t>Contract End: 31/4/2030 | Contract with Wipro</t>
  </si>
  <si>
    <t>APP-0077</t>
  </si>
  <si>
    <t>Onestream</t>
  </si>
  <si>
    <t>Corporate performance management for group consolidation, financial reporting, and budgeting.</t>
  </si>
  <si>
    <t>Anton</t>
  </si>
  <si>
    <t>APP-0078</t>
  </si>
  <si>
    <t>FlexControl</t>
  </si>
  <si>
    <t>Park operational workflow control, task assignment, and process tracking tool.</t>
  </si>
  <si>
    <t>No rolling, 5 years fixed</t>
  </si>
  <si>
    <t>APP-0079</t>
  </si>
  <si>
    <t>Gantner</t>
  </si>
  <si>
    <t>Digital lock maintenance solution for park access control.</t>
  </si>
  <si>
    <t>This is VINTIA - should not be decomissioned.</t>
  </si>
  <si>
    <t>APP-0080</t>
  </si>
  <si>
    <t>Freeday</t>
  </si>
  <si>
    <t>AI assistant for answering content-related guest queries in the contact centre.</t>
  </si>
  <si>
    <t>APP-0081</t>
  </si>
  <si>
    <t>Peakon</t>
  </si>
  <si>
    <t>Employee engagement and pulse survey tool tracking eNPS, wellbeing, and manager effectiveness.</t>
  </si>
  <si>
    <t>APP-0082</t>
  </si>
  <si>
    <t>Valicare</t>
  </si>
  <si>
    <t>Pre-employment screening for background checks, right-to-work validation, and DBS checks.</t>
  </si>
  <si>
    <t>Adinda</t>
  </si>
  <si>
    <t>APP-0083</t>
  </si>
  <si>
    <t>Workday</t>
  </si>
  <si>
    <t>Group-wide HCM for employee data, org structure, absence, performance, and talent development.</t>
  </si>
  <si>
    <t>APP-0084</t>
  </si>
  <si>
    <t>Workforce Management Dashboard</t>
  </si>
  <si>
    <t>Labour analytics showing scheduled vs. actual hours, overtime, and productivity ratios.</t>
  </si>
  <si>
    <t>APP-0085</t>
  </si>
  <si>
    <t>Ideas</t>
  </si>
  <si>
    <t>Revenue management system (RMS) for demand forecasting, pricing recommendations, and rate strategy.</t>
  </si>
  <si>
    <t>Vis</t>
  </si>
  <si>
    <t>Differ order form with diff date</t>
  </si>
  <si>
    <t>Contract data needs review (free text in a date field)</t>
  </si>
  <si>
    <t>APP-0086</t>
  </si>
  <si>
    <t>Zone &amp; Co</t>
  </si>
  <si>
    <t>Netsuite add-on for advanced billing, revenue recognition, and intercompany transactions.</t>
  </si>
  <si>
    <t>APP-0087</t>
  </si>
  <si>
    <t>Horeko</t>
  </si>
  <si>
    <t>F&amp;B recipe and menu management platform for park restaurants.</t>
  </si>
  <si>
    <t>APP-0088</t>
  </si>
  <si>
    <t>Intersolve</t>
  </si>
  <si>
    <t>Voucher-as-payment-method platform for guest redemptions and gift cards.</t>
  </si>
  <si>
    <t>Possible duplicate of APP-0052 (source row 54)</t>
  </si>
  <si>
    <t>APP-0089</t>
  </si>
  <si>
    <t>Kaliber</t>
  </si>
  <si>
    <t>New Recuritment Platform</t>
  </si>
  <si>
    <t>Sarah</t>
  </si>
  <si>
    <t>Dennis</t>
  </si>
  <si>
    <t>APP-0090</t>
  </si>
  <si>
    <t>Atoss</t>
  </si>
  <si>
    <t>Time &amp; attendance and shift scheduling system for larger operational parks.</t>
  </si>
  <si>
    <t>APP-0091</t>
  </si>
  <si>
    <t>iReserve</t>
  </si>
  <si>
    <t>Guest reservation system for sports, wellness, and entertainment facility bookings.</t>
  </si>
  <si>
    <t>Koos</t>
  </si>
  <si>
    <t>APP-0092</t>
  </si>
  <si>
    <t>Leviy</t>
  </si>
  <si>
    <t>Housekeeping and task management software for DK park cleaning operations.</t>
  </si>
  <si>
    <t>Joris</t>
  </si>
  <si>
    <t>APP-0093</t>
  </si>
  <si>
    <t>Ridder &amp; Hertog</t>
  </si>
  <si>
    <t>Retail management and POS for park shops; handles inventory and supplier ordering.</t>
  </si>
  <si>
    <t>APP-0094</t>
  </si>
  <si>
    <t>Litmus</t>
  </si>
  <si>
    <t>Email template rendering and validation tool for marketing campaigns.</t>
  </si>
  <si>
    <t>APP-0095</t>
  </si>
  <si>
    <t>Lighthouse</t>
  </si>
  <si>
    <t>Competitive intelligence and rate benchmarking for monitoring competitor pricing and market positioning.</t>
  </si>
  <si>
    <t>Kirill</t>
  </si>
  <si>
    <t>APP-0096</t>
  </si>
  <si>
    <t>Laura</t>
  </si>
  <si>
    <t>Legacy PMS and booking engine for Landal parks; being migrated to Maxxton.</t>
  </si>
  <si>
    <t>APP-0097</t>
  </si>
  <si>
    <t>Tablebooker - Restoned</t>
  </si>
  <si>
    <t>ZenChef table reservation and restaurant management for park F&amp;B.</t>
  </si>
  <si>
    <t>Indefinite</t>
  </si>
  <si>
    <t>APP-0098</t>
  </si>
  <si>
    <t>Level Level - vakantie markler</t>
  </si>
  <si>
    <t>Developer and maintenance services for the VakantieMakelaar website.</t>
  </si>
  <si>
    <t>APP-0099</t>
  </si>
  <si>
    <t>Tilia</t>
  </si>
  <si>
    <t>POS solution for bike rental in selected parks.</t>
  </si>
  <si>
    <t>APP-0100</t>
  </si>
  <si>
    <t>Revenue Mgmt Dashboard / PCOM17</t>
  </si>
  <si>
    <t>Rolling 7-day bookings, revenue, and pace vs. prior year; used in weekly trading meetings.</t>
  </si>
  <si>
    <t>APP-0101</t>
  </si>
  <si>
    <t>SMS for guest</t>
  </si>
  <si>
    <t>SMS guest communication service (Harvest Digital) for transactional and marketing messaging.</t>
  </si>
  <si>
    <t>Wanda</t>
  </si>
  <si>
    <t>APP-0102</t>
  </si>
  <si>
    <t>VVA</t>
  </si>
  <si>
    <t>UiPath RPA robot for automating marketing or operational workflows.</t>
  </si>
  <si>
    <t>Contract Start: 29/2/2025</t>
  </si>
  <si>
    <t>Invalid contract date; Contract data needs review (invalid date); Business SPOC missing (informational)</t>
  </si>
  <si>
    <t>APP-0103</t>
  </si>
  <si>
    <t>Magento</t>
  </si>
  <si>
    <t>E-commerce platform for holiday home inventory sales by park home owners.</t>
  </si>
  <si>
    <t>APP-0104</t>
  </si>
  <si>
    <t>CBT Nuggets LLC</t>
  </si>
  <si>
    <t>Online technical training provider for IT and operations staff.</t>
  </si>
  <si>
    <t>Rolling yearly ( Indefinite term)</t>
  </si>
  <si>
    <t>Anytime after 1 year</t>
  </si>
  <si>
    <t>No end date</t>
  </si>
  <si>
    <t>APP-0105</t>
  </si>
  <si>
    <t>&amp;ranj</t>
  </si>
  <si>
    <t>Gamification provider for the Landal Adventure app experience.</t>
  </si>
  <si>
    <t>APP-0106</t>
  </si>
  <si>
    <t>AdPolice</t>
  </si>
  <si>
    <t>Brand protection and ad monitoring tool (BrandWatch integration).</t>
  </si>
  <si>
    <t>APP-0107</t>
  </si>
  <si>
    <t>Revenue Mgmt Dashboard / PCOM18</t>
  </si>
  <si>
    <t>Daily revenue breakdown by channel, product type, and market for intraday booking trend analysis.</t>
  </si>
  <si>
    <t>APP-0108</t>
  </si>
  <si>
    <t>Amyyon</t>
  </si>
  <si>
    <t>Contract lifecycle management (CLM) tool for business line and development contracts.</t>
  </si>
  <si>
    <t>APP-0109</t>
  </si>
  <si>
    <t>Toshiba Storemate</t>
  </si>
  <si>
    <t>Retail POS for park shops; handles stock management and till transactions.</t>
  </si>
  <si>
    <t>APP-0110</t>
  </si>
  <si>
    <t>Maxxton – Integration Manager</t>
  </si>
  <si>
    <t>Middleware managing API connections and data flows between Maxxton and external systems.</t>
  </si>
  <si>
    <t>Not explicitly found</t>
  </si>
  <si>
    <t>APP-0111</t>
  </si>
  <si>
    <t>UPTA</t>
  </si>
  <si>
    <t>POS licence management for Roompot parks.</t>
  </si>
  <si>
    <t>APP-0112</t>
  </si>
  <si>
    <t>Revenue Mgmt Dashboard / PCOM19</t>
  </si>
  <si>
    <t>Strategic commercial KPI summary for 2026–2027 seasons; used for senior leadership reporting.</t>
  </si>
  <si>
    <t>APP-0113</t>
  </si>
  <si>
    <t>Artefact</t>
  </si>
  <si>
    <t>GA360 and GTM managed service provider for analytics tagging and infrastructure.</t>
  </si>
  <si>
    <t>APP-0114</t>
  </si>
  <si>
    <t>CanvaPro</t>
  </si>
  <si>
    <t>Canva Pro for email and marketing content creation.</t>
  </si>
  <si>
    <t>APP-0115</t>
  </si>
  <si>
    <t>Category Management Deck</t>
  </si>
  <si>
    <t>F&amp;B performance dashboard breaking down revenue and margin by category across parks.</t>
  </si>
  <si>
    <t>APP-0116</t>
  </si>
  <si>
    <t>AFAS Payroll</t>
  </si>
  <si>
    <t>Dutch payroll for RVP/LDL NL entities; integrates with Workday for HR master data.</t>
  </si>
  <si>
    <t>Marike</t>
  </si>
  <si>
    <t>Ronald Ferdiandus</t>
  </si>
  <si>
    <t>APP-0117</t>
  </si>
  <si>
    <t>MS Copilot</t>
  </si>
  <si>
    <t>Microsoft 365 AI assistant for meeting summaries, email drafting, and document generation.</t>
  </si>
  <si>
    <t>APP-0118</t>
  </si>
  <si>
    <t>Exact - Direct Debit</t>
  </si>
  <si>
    <t>Direct debit and online fiscal payment tool.</t>
  </si>
  <si>
    <t>APP-0119</t>
  </si>
  <si>
    <t>Exact licenses</t>
  </si>
  <si>
    <t>Legacy accounting application; licences retained for historical data access.</t>
  </si>
  <si>
    <t>APP-0120</t>
  </si>
  <si>
    <t>Unit4 Agresso</t>
  </si>
  <si>
    <t>Legacy ERP retained for view-only access.</t>
  </si>
  <si>
    <t>Contract End: 31/21/2027</t>
  </si>
  <si>
    <t>APP-0121</t>
  </si>
  <si>
    <t>Databricks Referential KPIs</t>
  </si>
  <si>
    <t>Contract data not stated; IT Owner missing; Description missing</t>
  </si>
  <si>
    <t>APP-0122</t>
  </si>
  <si>
    <t>Zenz</t>
  </si>
  <si>
    <t>Revenue management analytics for rate, occupancy, and yield insights to support RM decisions.</t>
  </si>
  <si>
    <t>Allard</t>
  </si>
  <si>
    <t>APP-0123</t>
  </si>
  <si>
    <t>Hübner &amp; Hübner</t>
  </si>
  <si>
    <t>German payroll provider managing Lohnsteuer submissions and social security contributions.</t>
  </si>
  <si>
    <t>APP-0124</t>
  </si>
  <si>
    <t>Anaplan</t>
  </si>
  <si>
    <t>Planning platform for lease contract modelling and financial planning.</t>
  </si>
  <si>
    <t>APP-0125</t>
  </si>
  <si>
    <t>Openshift ESB (Linda)</t>
  </si>
  <si>
    <t>Legacy enterprise service bus for message routing; being replaced by Boomi.</t>
  </si>
  <si>
    <t>APP-0126</t>
  </si>
  <si>
    <t>CCV</t>
  </si>
  <si>
    <t>Dutch payment provider for in-park card payments and e-commerce POS terminals.</t>
  </si>
  <si>
    <t>Rolling (Indefinite duration)</t>
  </si>
  <si>
    <t>APP-0127</t>
  </si>
  <si>
    <t>Clang / E-village</t>
  </si>
  <si>
    <t>Email marketing platform for Landal NL campaigns.</t>
  </si>
  <si>
    <t>APP-0128</t>
  </si>
  <si>
    <t>Manus</t>
  </si>
  <si>
    <t>Shift planning and time registration tool for specific park operations.</t>
  </si>
  <si>
    <t>APP-0129</t>
  </si>
  <si>
    <t>Power Automate</t>
  </si>
  <si>
    <t>Microsoft workflow automation for repetitive tasks across M365, SharePoint, and SaaS tools.</t>
  </si>
  <si>
    <t>APP-0130</t>
  </si>
  <si>
    <t>Power BI</t>
  </si>
  <si>
    <t>Microsoft BI platform serving all management dashboards across finance, HR, commercial, and ops.</t>
  </si>
  <si>
    <t>APP-0131</t>
  </si>
  <si>
    <t>CloseAlert</t>
  </si>
  <si>
    <t>Online user interaction tracking and feedback tool for website optimisation.</t>
  </si>
  <si>
    <t>APP-0132</t>
  </si>
  <si>
    <t>Landal 3rd Party Portal (Supershift)</t>
  </si>
  <si>
    <t>B2B portal for tour operators to search availability, manage bookings, and access commercial terms.</t>
  </si>
  <si>
    <t>I think we don't use Supershift anymore - check with Prateek</t>
  </si>
  <si>
    <t>APP-0133</t>
  </si>
  <si>
    <t>Maxxton – Revenue Manager</t>
  </si>
  <si>
    <t>Maxxton revenue management module for rate loading, restrictions, and yield controls.</t>
  </si>
  <si>
    <t>APP-0134</t>
  </si>
  <si>
    <t>Real Works</t>
  </si>
  <si>
    <t>Real estate management for property transactions, owner contracts, and park development administration.</t>
  </si>
  <si>
    <t>APP-0135</t>
  </si>
  <si>
    <t>Moorepay</t>
  </si>
  <si>
    <t>Payroll platform for UK employees; handles HMRC submissions, payslips, and statutory payments.</t>
  </si>
  <si>
    <t>APP-0136</t>
  </si>
  <si>
    <t>Deployteq</t>
  </si>
  <si>
    <t>Marketing automation and email platform for personalised guest communications and campaigns.</t>
  </si>
  <si>
    <t>APP-0137</t>
  </si>
  <si>
    <t>RackRateTool</t>
  </si>
  <si>
    <t>Internal tool for managing rack rates, promotional pricing, and rate hierarchies.</t>
  </si>
  <si>
    <t>Vincent</t>
  </si>
  <si>
    <t>APP-0138</t>
  </si>
  <si>
    <t>YieldBoard</t>
  </si>
  <si>
    <t>Automated yield optimisation tool for pricing based on demand signals and booking pace.</t>
  </si>
  <si>
    <t>APP-0139</t>
  </si>
  <si>
    <t>Maxxton – Channel Manager</t>
  </si>
  <si>
    <t>Maxxton module for OTA distribution; manages rate/availability updates and booking ingestion.</t>
  </si>
  <si>
    <t>Rolling in additional 2-year till notice given</t>
  </si>
  <si>
    <t>12 months</t>
  </si>
  <si>
    <t>APP-0140</t>
  </si>
  <si>
    <t>Censo Data Solution</t>
  </si>
  <si>
    <t>Energy management and monitoring for park sustainability tracking.</t>
  </si>
  <si>
    <t>Jan - Theo</t>
  </si>
  <si>
    <t>APP-0141</t>
  </si>
  <si>
    <t>Evema Beeld &amp; Geluid</t>
  </si>
  <si>
    <t>Canal Digital and CCTV subscription for park audiovisual and security services.</t>
  </si>
  <si>
    <t>APP-0142</t>
  </si>
  <si>
    <t>Document Dialog (DMS)</t>
  </si>
  <si>
    <t>Transactional document and communications management solution for Landal.</t>
  </si>
  <si>
    <t>APP-0143</t>
  </si>
  <si>
    <t>EMP</t>
  </si>
  <si>
    <t>Employee marketing portal for internal brand and communication campaigns.</t>
  </si>
  <si>
    <t>Rolling for every 2 years</t>
  </si>
  <si>
    <t>APP-0144</t>
  </si>
  <si>
    <t>GoMeddo</t>
  </si>
  <si>
    <t>Activity and leisure reservation platform for Roompot parks.</t>
  </si>
  <si>
    <t>APP-0145</t>
  </si>
  <si>
    <t>SAP Gygia</t>
  </si>
  <si>
    <t>IAM solution managing digital identities, SSO, user provisioning, and access governance.</t>
  </si>
  <si>
    <t>Contract Start: 1/101/2021</t>
  </si>
  <si>
    <t>APP-0146</t>
  </si>
  <si>
    <t>Home Owner Portal – Legacy</t>
  </si>
  <si>
    <t>Previous-generation home owner portal for parks not yet migrated to Maxxton.</t>
  </si>
  <si>
    <t>Danielle van Hirde</t>
  </si>
  <si>
    <t>APP-0147</t>
  </si>
  <si>
    <t>Figma</t>
  </si>
  <si>
    <t>UX/UI design and prototyping tool for product and digital teams.</t>
  </si>
  <si>
    <t>Ruben</t>
  </si>
  <si>
    <t>APP-0148</t>
  </si>
  <si>
    <t>Flowbox</t>
  </si>
  <si>
    <t>User-generated content (UGC) platform for embedding guest content on park websites.</t>
  </si>
  <si>
    <t>No Rolling</t>
  </si>
  <si>
    <t>APP-0149</t>
  </si>
  <si>
    <t>Planday</t>
  </si>
  <si>
    <t>Cloud-based shift scheduling and workforce communication for park and hospitality teams.</t>
  </si>
  <si>
    <t>APP-0150</t>
  </si>
  <si>
    <t>Hotjar</t>
  </si>
  <si>
    <t>Website heatmap and session recording for UX and conversion analysis.</t>
  </si>
  <si>
    <t>APP-0151</t>
  </si>
  <si>
    <t>Kraken.io</t>
  </si>
  <si>
    <t>Image compression and optimisation for Roompot FORK websites.</t>
  </si>
  <si>
    <t>APP-0152</t>
  </si>
  <si>
    <t>Livechat</t>
  </si>
  <si>
    <t>Live chat tool used by the guest services contact centre team.</t>
  </si>
  <si>
    <t>Annieke/ Nathaniel</t>
  </si>
  <si>
    <t>APP-0153</t>
  </si>
  <si>
    <t>Marketing Channel Performance</t>
  </si>
  <si>
    <t>Attribution dashboard showing bookings and revenue by acquisition channel vs. on-the-books pace.</t>
  </si>
  <si>
    <t>APP-0154</t>
  </si>
  <si>
    <t>Maxxton – Content Manager</t>
  </si>
  <si>
    <t>Maxxton module for accommodation descriptions, park content, and pricing within the PMS.</t>
  </si>
  <si>
    <t>APP-0155</t>
  </si>
  <si>
    <t>Mintel</t>
  </si>
  <si>
    <t>Market research and consumer trend reporting platform.</t>
  </si>
  <si>
    <t>APP-0156</t>
  </si>
  <si>
    <t>ReturnPath</t>
  </si>
  <si>
    <t>Email deliverability and return-path management tool.</t>
  </si>
  <si>
    <t>APP-0157</t>
  </si>
  <si>
    <t>SearchStax</t>
  </si>
  <si>
    <t>Site search solution integrated with Sitecore for Landal websites.</t>
  </si>
  <si>
    <t>APP-0158</t>
  </si>
  <si>
    <t>Radancy</t>
  </si>
  <si>
    <t>Legacy recruitment platform; being replaced.</t>
  </si>
  <si>
    <t>APP-0159</t>
  </si>
  <si>
    <t>Semrush</t>
  </si>
  <si>
    <t>SEO analytics and keyword research platform.</t>
  </si>
  <si>
    <t>APP-0160</t>
  </si>
  <si>
    <t>Kader</t>
  </si>
  <si>
    <t>SaaS health and safety compliance management platform.</t>
  </si>
  <si>
    <t>APP-0161</t>
  </si>
  <si>
    <t>Koole</t>
  </si>
  <si>
    <t>Internal operational tool for specific park processes; scope and ownership to be confirmed.</t>
  </si>
  <si>
    <t>APP-0162</t>
  </si>
  <si>
    <t>LeisureHub</t>
  </si>
  <si>
    <t>Booking platform for park leisure activities (spa, activities, experiences) with ticketing.</t>
  </si>
  <si>
    <t>Before 1/12 with written</t>
  </si>
  <si>
    <t>APP-0163</t>
  </si>
  <si>
    <t>Home Owner Portal – Maxxton</t>
  </si>
  <si>
    <t>Self-service portal for park home owners (rental statements, calendars, financials) built on Maxxton.</t>
  </si>
  <si>
    <t>APP-0164</t>
  </si>
  <si>
    <t>Maxxton - PMS</t>
  </si>
  <si>
    <t>Property Management System</t>
  </si>
  <si>
    <t>APP-0165</t>
  </si>
  <si>
    <t>Maxxton – Operations Manager</t>
  </si>
  <si>
    <t>Maxxton module for housekeeping, maintenance tasks, and daily park operational workflows.</t>
  </si>
  <si>
    <t>APP-0166</t>
  </si>
  <si>
    <t>SD Worx</t>
  </si>
  <si>
    <t>Payroll and HR admin for Belgium; covers payroll, social security declarations, and expenses.</t>
  </si>
  <si>
    <t>APP-0167</t>
  </si>
  <si>
    <t>Ingenico / Worldline</t>
  </si>
  <si>
    <t>Payment gateway and POS terminal integration for in-park and online card transactions.</t>
  </si>
  <si>
    <t>Carmen Smid</t>
  </si>
  <si>
    <t>APP-0168</t>
  </si>
  <si>
    <t>TechControls</t>
  </si>
  <si>
    <t>IT governance tooling for audit trails, compliance checks, and technical control monitoring.</t>
  </si>
  <si>
    <t>Jan- Theo</t>
  </si>
  <si>
    <t>APP-0169</t>
  </si>
  <si>
    <t>VakantieMakelaar</t>
  </si>
  <si>
    <t>Consumer brokerage site for holiday home sales and rentals; connects park owners with buyers and tenants.</t>
  </si>
  <si>
    <t>APP-0170</t>
  </si>
  <si>
    <t>Strobbo</t>
  </si>
  <si>
    <t>Time registration for Belgium parks (Roompot and Landal).</t>
  </si>
  <si>
    <t>Schedulimg software - to be decommisioned</t>
  </si>
  <si>
    <t>APP-0171</t>
  </si>
  <si>
    <t>Vintia</t>
  </si>
  <si>
    <t>Access control and wristband management for waterparks; supports cashless on-park payments.</t>
  </si>
  <si>
    <t>APP-0172</t>
  </si>
  <si>
    <t>Sendgrid</t>
  </si>
  <si>
    <t>SMTP relay service for transactional email delivery.</t>
  </si>
  <si>
    <t>IO Digital</t>
  </si>
  <si>
    <t>APP-0173</t>
  </si>
  <si>
    <t>STEP</t>
  </si>
  <si>
    <t>PIM system managing and distributing structured park and accommodation content across all channels.</t>
  </si>
  <si>
    <t>APP-0174</t>
  </si>
  <si>
    <t>Survicate</t>
  </si>
  <si>
    <t>Online survey tool for user feedback on Landal digital products.</t>
  </si>
  <si>
    <t>APP-0175</t>
  </si>
  <si>
    <t>Ubeeo (Hireserve BV)</t>
  </si>
  <si>
    <t>Recruitment software for managing candidate applications and hiring workflows.</t>
  </si>
  <si>
    <t>APP-0176</t>
  </si>
  <si>
    <t>Zenegy Payroll</t>
  </si>
  <si>
    <t>Payroll for Scandinavian markets covering salary runs, pension, and local tax compliance.</t>
  </si>
  <si>
    <t>Infinite term</t>
  </si>
  <si>
    <t>Contract End has no fixed end date but RollingTerm says no rolling; Contract data needs review (no fixed end date but no rolling)</t>
  </si>
  <si>
    <t>APP-0177</t>
  </si>
  <si>
    <t>XPlan</t>
  </si>
  <si>
    <t>Spa POS</t>
  </si>
  <si>
    <t>APP-0178</t>
  </si>
  <si>
    <t>NextPax</t>
  </si>
  <si>
    <t>Channel management platform for OTA, metasearch, and B2B distribution connectivity.</t>
  </si>
  <si>
    <t>APP-0179</t>
  </si>
  <si>
    <t>Nostradamus</t>
  </si>
  <si>
    <t>Demand-based workforce forecasting and scheduling for seasonal parks and peak resourcing.</t>
  </si>
  <si>
    <t>APP-0180</t>
  </si>
  <si>
    <t>Qenner</t>
  </si>
  <si>
    <t>Channel manager for additional OTAs and niche distribution partners not in primary channel manager.</t>
  </si>
  <si>
    <t>APP-0181</t>
  </si>
  <si>
    <t>Maxxton – Home Owner Manager</t>
  </si>
  <si>
    <t>Maxxton module for home owner relationships, rental pool participation, and owner charges.</t>
  </si>
  <si>
    <t>APP-0182</t>
  </si>
  <si>
    <t>WhoSon</t>
  </si>
  <si>
    <t>Live chat solution for Landal UK guest support.</t>
  </si>
  <si>
    <t>APP-0183</t>
  </si>
  <si>
    <t>Opex-added</t>
  </si>
  <si>
    <t>SonarQube</t>
  </si>
  <si>
    <t>Missing Business Owner</t>
  </si>
  <si>
    <t>Business Owner missing; Domain not assigned; Description missing; Business SPOC missing (informational)</t>
  </si>
  <si>
    <t>Sonarqube</t>
  </si>
  <si>
    <t>New Application</t>
  </si>
  <si>
    <t>Added - validation required</t>
  </si>
  <si>
    <t>APP-0184</t>
  </si>
  <si>
    <t>Monday.com</t>
  </si>
  <si>
    <t>Yasmine</t>
  </si>
  <si>
    <t>TBA, Yasmine might have the contract</t>
  </si>
  <si>
    <t>Contract data needs review (free text in a date field); Business Owner missing; Domain not assigned; Description missing; Business SPOC missing (informational)</t>
  </si>
  <si>
    <t>Monday.Com</t>
  </si>
  <si>
    <t>APP-0185</t>
  </si>
  <si>
    <t>Freshworks / Freshservice</t>
  </si>
  <si>
    <t>Contract data partial; Business Owner missing; Domain not assigned; Description missing; Business SPOC missing (informational)</t>
  </si>
  <si>
    <t>Freshworks Inc. 1989</t>
  </si>
  <si>
    <t>Increase in users</t>
  </si>
  <si>
    <t>APP-0186</t>
  </si>
  <si>
    <t>Slack</t>
  </si>
  <si>
    <t>Slack pending</t>
  </si>
  <si>
    <t>APP-0187</t>
  </si>
  <si>
    <t>Terraform</t>
  </si>
  <si>
    <t>Contract data not stated; Business Owner missing; Domain not assigned; Description missing; Business SPOC missing (informational)</t>
  </si>
  <si>
    <t>Terra Form</t>
  </si>
  <si>
    <t>APP-0188</t>
  </si>
  <si>
    <t>Adobe</t>
  </si>
  <si>
    <t>Contract negotiation</t>
  </si>
  <si>
    <t>Adbobey</t>
  </si>
  <si>
    <t>New contract</t>
  </si>
  <si>
    <t>APP-0189</t>
  </si>
  <si>
    <t>Ortec</t>
  </si>
  <si>
    <t>No fixed expiry</t>
  </si>
  <si>
    <t>Ortec BV</t>
  </si>
  <si>
    <t>SUNSET</t>
  </si>
  <si>
    <t>APP-0190</t>
  </si>
  <si>
    <t>Zenya</t>
  </si>
  <si>
    <t>Rolling monthly</t>
  </si>
  <si>
    <t>Higher NW Cost</t>
  </si>
  <si>
    <t>APP-0191</t>
  </si>
  <si>
    <t>Miro</t>
  </si>
  <si>
    <t>TBA</t>
  </si>
  <si>
    <t>APP-0192</t>
  </si>
  <si>
    <t>Tableau</t>
  </si>
  <si>
    <t>Decommission completed</t>
  </si>
  <si>
    <t>APP-0193</t>
  </si>
  <si>
    <t>Ardoq</t>
  </si>
  <si>
    <t>Contract data partial; Business Owner missing; Domain not assigned; Description missing; Contract date converted from text; Business SPOC missing (informational)</t>
  </si>
  <si>
    <t>Ardoq AS</t>
  </si>
  <si>
    <t>APP-0194</t>
  </si>
  <si>
    <t>New Relic</t>
  </si>
  <si>
    <t>New Relic, Inc.</t>
  </si>
  <si>
    <t>APP-0195</t>
  </si>
  <si>
    <t>Fivetran</t>
  </si>
  <si>
    <t>Micheal</t>
  </si>
  <si>
    <t>FiveTran, Inc.</t>
  </si>
  <si>
    <t>Sunset after PbP (Sep)</t>
  </si>
  <si>
    <t>APP-0196</t>
  </si>
  <si>
    <t>Optimizely</t>
  </si>
  <si>
    <t>Optimizely AB</t>
  </si>
  <si>
    <t>APP-0197</t>
  </si>
  <si>
    <t>Mopinion</t>
  </si>
  <si>
    <t>APP-0198</t>
  </si>
  <si>
    <t>Contentsquare</t>
  </si>
  <si>
    <t>Content Square Ltd</t>
  </si>
  <si>
    <t>APP-0199</t>
  </si>
  <si>
    <t>SpeedCurve</t>
  </si>
  <si>
    <t>SpeedCurve Limited</t>
  </si>
  <si>
    <t>APP-0200</t>
  </si>
  <si>
    <t>1Password</t>
  </si>
  <si>
    <t>1Passsword pending</t>
  </si>
  <si>
    <t>APP-0201</t>
  </si>
  <si>
    <t>Docker Pro</t>
  </si>
  <si>
    <t>Docker Pro pending</t>
  </si>
  <si>
    <t>APP-0202</t>
  </si>
  <si>
    <t>WebPageTest</t>
  </si>
  <si>
    <t>WebpageTest pending</t>
  </si>
  <si>
    <t>APP-0203</t>
  </si>
  <si>
    <t>Asana</t>
  </si>
  <si>
    <t>Asana pending</t>
  </si>
  <si>
    <t>APP-0204</t>
  </si>
  <si>
    <t>DataCamp</t>
  </si>
  <si>
    <t>Datacamp pending</t>
  </si>
  <si>
    <t>APP-0205</t>
  </si>
  <si>
    <t>Lucid Software</t>
  </si>
  <si>
    <t>Lucid Sofware pending</t>
  </si>
  <si>
    <t>APP-0206</t>
  </si>
  <si>
    <t>Kissflow</t>
  </si>
  <si>
    <t>Kissflow pending</t>
  </si>
  <si>
    <t>APP-0207</t>
  </si>
  <si>
    <t>Expo</t>
  </si>
  <si>
    <t>APP-0208</t>
  </si>
  <si>
    <t>Rakoo</t>
  </si>
  <si>
    <t>APP-0209</t>
  </si>
  <si>
    <t>Vectra</t>
  </si>
  <si>
    <t>Vectra new in 2026</t>
  </si>
  <si>
    <t>APP-0210</t>
  </si>
  <si>
    <t>Tools4Ever</t>
  </si>
  <si>
    <t>APP-0211</t>
  </si>
  <si>
    <t>Docspro</t>
  </si>
  <si>
    <t>APP-0212</t>
  </si>
  <si>
    <t>Regency</t>
  </si>
  <si>
    <t>APP-0213</t>
  </si>
  <si>
    <t>Vimeo</t>
  </si>
  <si>
    <t>Vimeo.com, Inc.</t>
  </si>
  <si>
    <t>APP-0214</t>
  </si>
  <si>
    <t>Scrive</t>
  </si>
  <si>
    <t>Scrive AB</t>
  </si>
  <si>
    <t>APP-0215</t>
  </si>
  <si>
    <t>Safenames</t>
  </si>
  <si>
    <t>No fixed expiry, depends on each order form</t>
  </si>
  <si>
    <t>Safenames Ltd</t>
  </si>
  <si>
    <t>APP-0216</t>
  </si>
  <si>
    <t>ReliaQuest</t>
  </si>
  <si>
    <t>not stated</t>
  </si>
  <si>
    <t>APP-0217</t>
  </si>
  <si>
    <t>Dataslayer</t>
  </si>
  <si>
    <t>Dataslayer pending</t>
  </si>
  <si>
    <t>APP-0218</t>
  </si>
  <si>
    <t>DM Tools</t>
  </si>
  <si>
    <t>DM Tools pending</t>
  </si>
  <si>
    <t>APP-0219</t>
  </si>
  <si>
    <t>Mentor</t>
  </si>
  <si>
    <t>Mentor pending</t>
  </si>
  <si>
    <t>APP-0220</t>
  </si>
  <si>
    <t>Sectigo</t>
  </si>
  <si>
    <t>SectIGO pending</t>
  </si>
  <si>
    <t>APP-0221</t>
  </si>
  <si>
    <t>CIS</t>
  </si>
  <si>
    <t>CIS pending</t>
  </si>
  <si>
    <t>APP-0222</t>
  </si>
  <si>
    <t>ITT Desk</t>
  </si>
  <si>
    <t>ITT desk</t>
  </si>
  <si>
    <t>APP-0223</t>
  </si>
  <si>
    <t>Open Provider</t>
  </si>
  <si>
    <t>APP-0224</t>
  </si>
  <si>
    <t>Solimas</t>
  </si>
  <si>
    <t>Solimas pending</t>
  </si>
  <si>
    <t>APP-0225</t>
  </si>
  <si>
    <t>Complite</t>
  </si>
  <si>
    <t>Status</t>
  </si>
  <si>
    <t>Application / System</t>
  </si>
  <si>
    <t>Business Owner (C-1 Dept)</t>
  </si>
  <si>
    <t>Business SPOC (Name)</t>
  </si>
  <si>
    <t>IT Owner</t>
  </si>
  <si>
    <t>IT SPOC</t>
  </si>
  <si>
    <t>Comments:</t>
  </si>
  <si>
    <t>Contract End</t>
  </si>
  <si>
    <t>Rolling /Auto-renew</t>
  </si>
  <si>
    <t>Notice Period</t>
  </si>
  <si>
    <t>Contract Start</t>
  </si>
  <si>
    <t>Opex Supplier</t>
  </si>
  <si>
    <t>Opex Criteria</t>
  </si>
  <si>
    <t>Merge Review Status</t>
  </si>
  <si>
    <t>✅  Keep</t>
  </si>
  <si>
    <t xml:space="preserve">Zoran </t>
  </si>
  <si>
    <t xml:space="preserve">Tamer </t>
  </si>
  <si>
    <t xml:space="preserve">NA </t>
  </si>
  <si>
    <t xml:space="preserve">Marieke </t>
  </si>
  <si>
    <t xml:space="preserve">Jose Herstel </t>
  </si>
  <si>
    <t xml:space="preserve">Remco </t>
  </si>
  <si>
    <t xml:space="preserve">Geeske </t>
  </si>
  <si>
    <t xml:space="preserve">Rogier </t>
  </si>
  <si>
    <t>31/06/2028</t>
  </si>
  <si>
    <t>??</t>
  </si>
  <si>
    <t xml:space="preserve">Freek </t>
  </si>
  <si>
    <t xml:space="preserve">Christian </t>
  </si>
  <si>
    <t xml:space="preserve">Prateek </t>
  </si>
  <si>
    <t xml:space="preserve">Nienke </t>
  </si>
  <si>
    <t xml:space="preserve">TBD </t>
  </si>
  <si>
    <t>🔴  Sunset</t>
  </si>
  <si>
    <t xml:space="preserve">Maaike </t>
  </si>
  <si>
    <t xml:space="preserve">Florence </t>
  </si>
  <si>
    <t xml:space="preserve">Mutual written agreement </t>
  </si>
  <si>
    <t xml:space="preserve">Marleen </t>
  </si>
  <si>
    <t xml:space="preserve">Danielle </t>
  </si>
  <si>
    <t xml:space="preserve">Gioia </t>
  </si>
  <si>
    <t xml:space="preserve">Annieke </t>
  </si>
  <si>
    <t xml:space="preserve">Silvia </t>
  </si>
  <si>
    <t xml:space="preserve">Vipul </t>
  </si>
  <si>
    <t xml:space="preserve">Menno </t>
  </si>
  <si>
    <t xml:space="preserve">Jan-Theo </t>
  </si>
  <si>
    <t xml:space="preserve">Breno </t>
  </si>
  <si>
    <t xml:space="preserve">Ilanit </t>
  </si>
  <si>
    <t xml:space="preserve">Brenda </t>
  </si>
  <si>
    <t xml:space="preserve">Maggie </t>
  </si>
  <si>
    <t>🔶  Revisit</t>
  </si>
  <si>
    <t xml:space="preserve">Margeritte </t>
  </si>
  <si>
    <t>31/11/2028</t>
  </si>
  <si>
    <t xml:space="preserve">Melissa </t>
  </si>
  <si>
    <t xml:space="preserve">Mike </t>
  </si>
  <si>
    <t xml:space="preserve">Jiri </t>
  </si>
  <si>
    <t xml:space="preserve">Nanne </t>
  </si>
  <si>
    <t xml:space="preserve">Cees </t>
  </si>
  <si>
    <t xml:space="preserve">Henco </t>
  </si>
  <si>
    <t xml:space="preserve">Erik de Vos </t>
  </si>
  <si>
    <t xml:space="preserve">Gift Card website </t>
  </si>
  <si>
    <t>DONE</t>
  </si>
  <si>
    <t xml:space="preserve">Mageritte  </t>
  </si>
  <si>
    <t xml:space="preserve">Taner </t>
  </si>
  <si>
    <t xml:space="preserve">Rosalie </t>
  </si>
  <si>
    <t xml:space="preserve">Lisanne </t>
  </si>
  <si>
    <t>(Formally Clang/E-village)
No fixed end date</t>
  </si>
  <si>
    <t xml:space="preserve">EDM Dataquality? (Experian) </t>
  </si>
  <si>
    <t xml:space="preserve">Rolf </t>
  </si>
  <si>
    <t xml:space="preserve">Suneset </t>
  </si>
  <si>
    <t xml:space="preserve">Amelie </t>
  </si>
  <si>
    <t xml:space="preserve">Alfred </t>
  </si>
  <si>
    <t xml:space="preserve">
31/4/2030
Contract with Wipro</t>
  </si>
  <si>
    <t xml:space="preserve">Adinda </t>
  </si>
  <si>
    <t xml:space="preserve">Keep </t>
  </si>
  <si>
    <t xml:space="preserve">Kaliber </t>
  </si>
  <si>
    <t xml:space="preserve">New Recuritment Platform </t>
  </si>
  <si>
    <t xml:space="preserve">Sarah </t>
  </si>
  <si>
    <t xml:space="preserve">Dennis </t>
  </si>
  <si>
    <t xml:space="preserve">Koos </t>
  </si>
  <si>
    <t xml:space="preserve">Wanda </t>
  </si>
  <si>
    <t>29/2/2025</t>
  </si>
  <si>
    <t xml:space="preserve">Marike </t>
  </si>
  <si>
    <t xml:space="preserve">Ronald Ferdiandus </t>
  </si>
  <si>
    <t>31/21/2027</t>
  </si>
  <si>
    <t xml:space="preserve">Databricks Referential KPIs </t>
  </si>
  <si>
    <t xml:space="preserve">Allard </t>
  </si>
  <si>
    <t xml:space="preserve">Vincent </t>
  </si>
  <si>
    <t xml:space="preserve">YieldBoard </t>
  </si>
  <si>
    <t xml:space="preserve">Jan - Theo </t>
  </si>
  <si>
    <t>1/101/2021</t>
  </si>
  <si>
    <t xml:space="preserve">Maxxton - PMS </t>
  </si>
  <si>
    <t xml:space="preserve">Property Management System </t>
  </si>
  <si>
    <t xml:space="preserve">Jan- Theo </t>
  </si>
  <si>
    <t xml:space="preserve">IO Digital </t>
  </si>
  <si>
    <t xml:space="preserve">Spa POS </t>
  </si>
  <si>
    <t xml:space="preserve">CFO </t>
  </si>
  <si>
    <t xml:space="preserve">New Application </t>
  </si>
  <si>
    <t xml:space="preserve">Increase in users </t>
  </si>
  <si>
    <t xml:space="preserve">Contract negotiation  </t>
  </si>
  <si>
    <t xml:space="preserve">New contract </t>
  </si>
  <si>
    <t xml:space="preserve">Higher NW Cost </t>
  </si>
  <si>
    <t xml:space="preserve"> 30 March 2027</t>
  </si>
  <si>
    <t xml:space="preserve">Sunset after PbP (Sep) </t>
  </si>
  <si>
    <t>Field</t>
  </si>
  <si>
    <t>Type</t>
  </si>
  <si>
    <t>Source (Application Inventory)</t>
  </si>
  <si>
    <t>Transformation / rule</t>
  </si>
  <si>
    <t>Blank handling / allowed values</t>
  </si>
  <si>
    <t>Text</t>
  </si>
  <si>
    <t>(generated)</t>
  </si>
  <si>
    <t>Stable sequential identifier, one per source record.</t>
  </si>
  <si>
    <t>APP-0001 is source row 3, APP-0002 is row 4 ... APP-0225 is row 227, in source row order. Not derived from any value, so it never changes when names change. If rows are inserted in the source, append new IDs rather than renumbering.</t>
  </si>
  <si>
    <t>Never blank. Format APP-nnnn.</t>
  </si>
  <si>
    <t>Number</t>
  </si>
  <si>
    <t>Excel row number</t>
  </si>
  <si>
    <t>Row number of the record in the Application Inventory sheet (header is row 2).</t>
  </si>
  <si>
    <t>Copied as is. Use it to trace any value back to the source and to Source_Values.</t>
  </si>
  <si>
    <t>Never blank.</t>
  </si>
  <si>
    <t>Derived from row position</t>
  </si>
  <si>
    <t>Original = source rows 3-184. Opex-added = rows 185-227 (the records added from Opex, all with Merge Review Status "Added - validation required").</t>
  </si>
  <si>
    <t>Row position rule.</t>
  </si>
  <si>
    <t>Original / Opex-added.</t>
  </si>
  <si>
    <t>A: Domain</t>
  </si>
  <si>
    <t>Business domain owner.</t>
  </si>
  <si>
    <t>Leading/trailing spaces removed (1 value: "CFO " -&gt; "CFO"). No other change. "TBD" is kept as "TBD" (not assigned).</t>
  </si>
  <si>
    <t>Blank stays blank. Values: CDO, CFO, CHRO, CIO, CMDO, COO, CRO, TBD.</t>
  </si>
  <si>
    <t>B: Status</t>
  </si>
  <si>
    <t>Standardised portfolio decision.</t>
  </si>
  <si>
    <t>Emoji, spaces and letter case ignored; mapped to Keep, Revisit or Sunset only when the remaining word matches exactly. "Suneset" (one-letter typo of Sunset) is read as Sunset and flagged in DataQualityNotes. "??", "DONE" and blank are NOT guessed and become Unknown. Original text is kept in Source_Values.</t>
  </si>
  <si>
    <t>Keep / Revisit / Sunset / Unknown.</t>
  </si>
  <si>
    <t>C: Application / System</t>
  </si>
  <si>
    <t>Application or system name.</t>
  </si>
  <si>
    <t>Leading/trailing spaces removed (5 names). Names are otherwise unchanged; nothing merged or de-duplicated.</t>
  </si>
  <si>
    <t>Never blank in the source.</t>
  </si>
  <si>
    <t>D: Description</t>
  </si>
  <si>
    <t>One-line description of purpose and scope.</t>
  </si>
  <si>
    <t>Trimmed only.</t>
  </si>
  <si>
    <t>Blank stays blank (44 records).</t>
  </si>
  <si>
    <t>E: Business Owner (C-1 Dept)</t>
  </si>
  <si>
    <t>Business owner as recorded (values are first names in the source, although the header says C-1 department).</t>
  </si>
  <si>
    <t>Trimmed only (162 values had trailing spaces). Not re-mapped to departments.</t>
  </si>
  <si>
    <t>Blank stays blank (43 records).</t>
  </si>
  <si>
    <t>F: Business SPOC (Name)</t>
  </si>
  <si>
    <t>Named business point of contact.</t>
  </si>
  <si>
    <t>Blank stays blank (100 records).</t>
  </si>
  <si>
    <t>G: IT Owner</t>
  </si>
  <si>
    <t>IT lead responsible.</t>
  </si>
  <si>
    <t>Trimmed only ("Jiri " -&gt; "Jiri").</t>
  </si>
  <si>
    <t>Blank stays blank (2 records).</t>
  </si>
  <si>
    <t>H: IT SPOC</t>
  </si>
  <si>
    <t>IT point of contact.</t>
  </si>
  <si>
    <t>Copied. The source column is empty for every record.</t>
  </si>
  <si>
    <t>Blank (all 225).</t>
  </si>
  <si>
    <t>I: Comments:</t>
  </si>
  <si>
    <t>Free-text comment.</t>
  </si>
  <si>
    <t>Blank stays blank (3 comments in total).</t>
  </si>
  <si>
    <t>Date</t>
  </si>
  <si>
    <t>M: Contract Start</t>
  </si>
  <si>
    <t>Contract start as a true date.</t>
  </si>
  <si>
    <t>Genuine Excel dates are kept. Text is converted only if it is a valid calendar date in d/M/yyyy or "d MMMM yyyy" form. Invalid dates (e.g. 29/2/2025, 1/101/2021) are NOT converted or corrected. Placeholders ("Not stated", "No contract", ...) and other text are not dates.</t>
  </si>
  <si>
    <t>Blank when no valid date. Source text is kept in ContractStartText or ContractDateIssue.</t>
  </si>
  <si>
    <t>J: Contract End</t>
  </si>
  <si>
    <t>Contract end as a true date.</t>
  </si>
  <si>
    <t>Same rules as ContractStartDate. The only text value converted is " 30 March 2027" (Ardoq). Invalid dates such as 31/11/2028, 31/06/2028, 31/21/2027 are not converted.</t>
  </si>
  <si>
    <t>Blank when no valid date. Source text is kept in ContractEndText or ContractDateIssue.</t>
  </si>
  <si>
    <t>K: Rolling /Auto-renew</t>
  </si>
  <si>
    <t>Rolling / auto-renew wording as recorded.</t>
  </si>
  <si>
    <t>Copied as text, trimmed. Not standardised (variants such as "No", "No rolling", "Rolling yealy" are kept as stored).</t>
  </si>
  <si>
    <t>Blank stays blank.</t>
  </si>
  <si>
    <t>L: Notice Period</t>
  </si>
  <si>
    <t>Notice period wording as recorded.</t>
  </si>
  <si>
    <t>Copied as text, trimmed. Not standardised.</t>
  </si>
  <si>
    <t>Non-date text that was in Contract Start (e.g. "Not stated", "No contract").</t>
  </si>
  <si>
    <t>Filled only when ContractStartDate is blank and the cell held valid-looking text that is not an invalid date. Line breaks replaced by " | ".</t>
  </si>
  <si>
    <t>Blank when the field was blank, a date, or an invalid date.</t>
  </si>
  <si>
    <t>Non-date text that was in Contract End (e.g. "No contract", "No fixed end date", "TBA").</t>
  </si>
  <si>
    <t>Same rule as ContractStartText.</t>
  </si>
  <si>
    <t>J and M</t>
  </si>
  <si>
    <t>Invalid date-like value retained exactly as in the source (line breaks replaced by " | ").</t>
  </si>
  <si>
    <t>Filled when the text looks like a date but is not a valid calendar date, e.g. "Contract End: 31/11/2028". Not corrected, not guessed.</t>
  </si>
  <si>
    <t>Blank when no invalid date. 7 records.</t>
  </si>
  <si>
    <t>J:M</t>
  </si>
  <si>
    <t>Overall state of the four contract fields (Contract End, Rolling, Notice Period, Contract Start).</t>
  </si>
  <si>
    <t>Evaluated in this order. 1) Review Required: any invalid date; free text in a date field (e.g. "Contract negotiation", "IO Digital"); End not after Start; "No contract" mixed with real contract values; "No fixed end date" with Rolling = "No". 2) Not Stated: every field blank or a placeholder (Not stated, No stated, Not found, Not explicitly found, TBA). 3) No Contract: at least one field says "No contract" and no field holds a real value (the other fields may say "Not stated" or be blank). 4) Complete: all four fields hold a value (valid date or stated open-ended end such as "No fixed end date"; non-placeholder Rolling and Notice). 5) Partial: everything else.</t>
  </si>
  <si>
    <t>Complete / Partial / No Contract / Not Stated / Review Required.</t>
  </si>
  <si>
    <t>E and G</t>
  </si>
  <si>
    <t>Whether business and IT owner are recorded.</t>
  </si>
  <si>
    <t>Based on BusinessOwner and ITOwner only (BusinessSPOC and ITSPOC are not part of this status).</t>
  </si>
  <si>
    <t>Complete / Missing Business Owner / Missing IT Owner / Missing Both.</t>
  </si>
  <si>
    <t>(derived)</t>
  </si>
  <si>
    <t>Overall data-quality flag.</t>
  </si>
  <si>
    <t>Review Required if any counted issue exists: Domain missing or TBD; PortfolioStatus Unknown; Application name missing; Description missing; BusinessOwner or ITOwner missing; ContractDataStatus is Partial, Not Stated or Review Required; any ContractDateIssue. Otherwise OK. Business SPOC, IT SPOC, Comments and Opex fields are not treated as important.</t>
  </si>
  <si>
    <t>Review Required / OK.</t>
  </si>
  <si>
    <t>Number of counted issues for the record.</t>
  </si>
  <si>
    <t>Count of the counted issues listed in DataQualityNotes (informational review notes are not counted).</t>
  </si>
  <si>
    <t>0 or more.</t>
  </si>
  <si>
    <t>Semicolon-separated list of issues, followed by review-only notes.</t>
  </si>
  <si>
    <t>Counted issues first, then review notes (status spelling variant read, text date converted, Business SPOC missing, possible duplicate).</t>
  </si>
  <si>
    <t>Blank when the record has nothing to report.</t>
  </si>
  <si>
    <t>N: Opex Supplier</t>
  </si>
  <si>
    <t>Supplier text from the Opex merge.</t>
  </si>
  <si>
    <t>Blank for original records.</t>
  </si>
  <si>
    <t>O: Opex Criteria</t>
  </si>
  <si>
    <t>Opex criteria text.</t>
  </si>
  <si>
    <t>P: Merge Review Status</t>
  </si>
  <si>
    <t>Merge review marker.</t>
  </si>
  <si>
    <t>Blank for original records; "Added - validation required" for Opex-added.</t>
  </si>
  <si>
    <t>TRANSFORMATION LOG</t>
  </si>
  <si>
    <t>#</t>
  </si>
  <si>
    <t>Transformation</t>
  </si>
  <si>
    <t>Records affected</t>
  </si>
  <si>
    <t>Detail</t>
  </si>
  <si>
    <t>T01</t>
  </si>
  <si>
    <t>Baseline = Application Inventory rows 3-227</t>
  </si>
  <si>
    <t>225</t>
  </si>
  <si>
    <t>One output row per source row (182 original + 43 Opex-added). No rows removed, merged or de-duplicated. The source workbook was opened read-only and not changed.</t>
  </si>
  <si>
    <t>T02</t>
  </si>
  <si>
    <t>ApplicationID generated</t>
  </si>
  <si>
    <t>APP-0001 ... APP-0225 in source row order.</t>
  </si>
  <si>
    <t>T03</t>
  </si>
  <si>
    <t>Trim leading/trailing spaces</t>
  </si>
  <si>
    <t>see detail</t>
  </si>
  <si>
    <t>Domain 1; ApplicationName 5; Description 4; BusinessOwner 162; BusinessSPOC 93; ITOwner 2. Internal spacing is untouched.</t>
  </si>
  <si>
    <t>T04</t>
  </si>
  <si>
    <t>Status standardised</t>
  </si>
  <si>
    <t>6</t>
  </si>
  <si>
    <t>5 values (Keep / Sunset without emoji or with trailing space) mapped; 1 typo (Suneset) read as Sunset; 5 values (?? x3, DONE x2) -&gt; Unknown. Standard emoji-prefixed values are mapped by dropping the emoji.</t>
  </si>
  <si>
    <t>T05</t>
  </si>
  <si>
    <t>Text date converted to a date</t>
  </si>
  <si>
    <t>1</t>
  </si>
  <si>
    <t>Ardoq (APP-0193) Contract End ' 30 March 2027' -&gt; 2027-03-30.</t>
  </si>
  <si>
    <t>T06</t>
  </si>
  <si>
    <t>Invalid dates kept, not converted</t>
  </si>
  <si>
    <t>7</t>
  </si>
  <si>
    <t>Held verbatim in ContractDateIssue; ContractStartDate / ContractEndDate left blank. No correction was attempted.</t>
  </si>
  <si>
    <t>T07</t>
  </si>
  <si>
    <t>Non-date contract text moved to *Text columns</t>
  </si>
  <si>
    <t>see Quality Summary</t>
  </si>
  <si>
    <t>Placeholders and descriptive text from Contract Start / End go to ContractStartText / ContractEndText so the date columns only contain true dates.</t>
  </si>
  <si>
    <t>T08</t>
  </si>
  <si>
    <t>Status columns derived</t>
  </si>
  <si>
    <t>ContractDataStatus, OwnershipDataStatus, DataQualityStatus, DataQualityIssueCount and DataQualityNotes are calculated from the rules above.</t>
  </si>
  <si>
    <t>T09</t>
  </si>
  <si>
    <t>Original values preserved</t>
  </si>
  <si>
    <t>Source_Values holds all 16 original columns for every record (exactly as stored, untrimmed, linked by ApplicationID and SourceRow). Genuine date cells are stored as dates; everything else is the original text.</t>
  </si>
  <si>
    <t>T10</t>
  </si>
  <si>
    <t>Not done on purpose</t>
  </si>
  <si>
    <t>-</t>
  </si>
  <si>
    <t>No contract data inferred; no names/domains/owners corrected; no duplicate removed (possible duplicates are only noted); RollingTerm and NoticePeriod wording not standardised; ?? and DONE not guessed.</t>
  </si>
  <si>
    <t>QUALITY SUMMARY</t>
  </si>
  <si>
    <t>Counts are live formulas on the ApplicationCatalogue table.</t>
  </si>
  <si>
    <t>Records</t>
  </si>
  <si>
    <t>Count</t>
  </si>
  <si>
    <t>Note</t>
  </si>
  <si>
    <t>Total applications</t>
  </si>
  <si>
    <t>Original records (source rows 3-184)</t>
  </si>
  <si>
    <t>Opex-added records (rows 185-227)</t>
  </si>
  <si>
    <t>All need validation</t>
  </si>
  <si>
    <t>At least one counted issue</t>
  </si>
  <si>
    <t>No counted issue</t>
  </si>
  <si>
    <t>Missing Both</t>
  </si>
  <si>
    <t>Issue counts (a record can have several)</t>
  </si>
  <si>
    <t>Counted in DataQualityStatus</t>
  </si>
  <si>
    <t>Domain not assigned (TBD or blank)</t>
  </si>
  <si>
    <t>Description missing</t>
  </si>
  <si>
    <t>Business Owner missing</t>
  </si>
  <si>
    <t>IT Owner missing</t>
  </si>
  <si>
    <t>Portfolio status unknown</t>
  </si>
  <si>
    <t>Invalid contract date (kept in ContractDateIssue)</t>
  </si>
  <si>
    <t>Contract data needs review</t>
  </si>
  <si>
    <t>Contract End not after Contract Start</t>
  </si>
  <si>
    <t>Mixed 'No contract' with contract values</t>
  </si>
  <si>
    <t>No fixed end date but RollingTerm says no rolling</t>
  </si>
  <si>
    <t>Application name missing</t>
  </si>
  <si>
    <t>Review-only notes (not counted in status)</t>
  </si>
  <si>
    <t>Status spelling variant read as standard value</t>
  </si>
  <si>
    <t>Contract date converted from text</t>
  </si>
  <si>
    <t>Business SPOC missing</t>
  </si>
  <si>
    <t>Possible duplicate flagged</t>
  </si>
  <si>
    <t>Contract dates</t>
  </si>
  <si>
    <t>Records with a valid ContractStartDate</t>
  </si>
  <si>
    <t>Records with a valid ContractEndDate</t>
  </si>
  <si>
    <t>Records with ContractDateIssue</t>
  </si>
  <si>
    <t>Invalid dates not converted</t>
  </si>
  <si>
    <t>Reconciliation checks</t>
  </si>
  <si>
    <t>Result</t>
  </si>
  <si>
    <t>ApplicationID unique</t>
  </si>
  <si>
    <t>Rows in Source_Values = rows in ApplicationCatalogue</t>
  </si>
  <si>
    <t>Application Catalogue - Power BI ready workbook</t>
  </si>
  <si>
    <t>Built from: 01_Source/IT Application Catalogue - Merged.xlsx (sheet "Application Inventory"). The source workbook was not modified.</t>
  </si>
  <si>
    <t>Built on: 2026-10-21. See Data Dictionary for every field and transformation and Quality Summary for issue counts.</t>
  </si>
  <si>
    <t>Sheets</t>
  </si>
  <si>
    <t xml:space="preserve">  ApplicationCatalogue - Excel table "ApplicationCatalogue", one row per application (load this into Power BI).</t>
  </si>
  <si>
    <t xml:space="preserve">  Source_Values - Excel table "SourceValues", all original columns exactly as stored; relate on ApplicationID. Load as Text if you use it.</t>
  </si>
  <si>
    <t xml:space="preserve">  Data Dictionary - field definitions, rules, transformation log.</t>
  </si>
  <si>
    <t xml:space="preserve">  Quality Summary - live counts and reconciliation checks.</t>
  </si>
  <si>
    <t>Notes</t>
  </si>
  <si>
    <t xml:space="preserve">  Blank means blank in the source (or not a valid date). Nothing was inferred.</t>
  </si>
  <si>
    <t xml:space="preserve">  Invalid dates are not corrected; they appear in ContractDateIssue.</t>
  </si>
  <si>
    <t xml:space="preserve">  Possible duplicates are only noted in DataQualityNotes; no record was merged or removed.</t>
  </si>
  <si>
    <t>Vendor Contact Person</t>
  </si>
  <si>
    <t>Vendor Contact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</si>
</sst>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Aptos Narrow"/>
      <family val="2"/>
      <scheme val="minor"/>
    </font>
    <font>
      <b/>
      <sz val="11"/>
      <color theme="1"/>
      <name val="Aptos Narrow"/>
      <family val="2"/>
      <scheme val="minor"/>
    </font>
    <font>
      <b/>
      <sz val="11"/>
      <color rgb="FFFFFFFF"/>
      <name val="Aptos Narrow"/>
      <family val="2"/>
      <scheme val="minor"/>
    </font>
    <font>
      <b/>
      <sz val="14"/>
      <color theme="1"/>
      <name val="Aptos Narrow"/>
      <family val="2"/>
      <scheme val="minor"/>
    </font>
  </fonts>
  <fills count="4">
    <fill>
      <patternFill patternType="none"/>
    </fill>
    <fill>
      <patternFill patternType="gray125"/>
    </fill>
    <fill>
      <patternFill patternType="solid">
        <fgColor rgb="FF1F4B7A"/>
        <bgColor indexed="64"/>
      </patternFill>
    </fill>
    <fill>
      <patternFill patternType="solid">
        <fgColor rgb="FFD9E6F2"/>
        <bgColor indexed="64"/>
      </patternFill>
    </fill>
  </fills>
  <borders count="1">
    <border>
      <left/>
      <right/>
      <top/>
      <bottom/>
      <diagonal/>
    </border>
  </borders>
  <cellStyleXfs count="1">
    <xf numFmtId="0" fontId="0" fillId="0" borderId="0"/>
  </cellStyleXfs>
  <cellXfs count="9">
    <xf numFmtId="0" fontId="0" fillId="0" borderId="0" xfId="0"/>
    <xf numFmtId="49" fontId="0" fillId="0" borderId="0" xfId="0" applyNumberFormat="1"/>
    <xf numFmtId="164" fontId="0" fillId="0" borderId="0" xfId="0" applyNumberFormat="1"/>
    <xf numFmtId="49" fontId="0" fillId="0" borderId="0" xfId="0" applyNumberFormat="1" applyAlignment="1">
      <alignment wrapText="1"/>
    </xf>
    <xf numFmtId="49" fontId="2" fillId="2" borderId="0" xfId="0" applyNumberFormat="1" applyFont="1" applyFill="1" applyAlignment="1">
      <alignment vertical="top" wrapText="1"/>
    </xf>
    <xf numFmtId="49" fontId="0" fillId="0" borderId="0" xfId="0" applyNumberFormat="1" applyAlignment="1">
      <alignment vertical="top" wrapText="1"/>
    </xf>
    <xf numFmtId="0" fontId="1" fillId="0" borderId="0" xfId="0" applyFont="1"/>
    <xf numFmtId="0" fontId="3" fillId="0" borderId="0" xfId="0" applyFont="1"/>
    <xf numFmtId="0" fontId="1" fillId="3" borderId="0" xfId="0" applyFont="1" applyFill="1"/>
  </cellXfs>
  <cellStyles count="1">
    <cellStyle name="Normal" xfId="0" builtinId="0"/>
  </cellStyles>
  <dxfs count="46">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164" formatCode="yyyy\-mm\-dd"/>
    </dxf>
    <dxf>
      <numFmt numFmtId="164" formatCode="yyyy\-mm\-dd"/>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AFD712-CF5F-4FC9-8DBA-03416D4CA314}" name="ApplicationCatalogue" displayName="ApplicationCatalogue" ref="A1:AC226" totalsRowShown="0" headerRowDxfId="45">
  <autoFilter ref="A1:AC226" xr:uid="{ACAFD712-CF5F-4FC9-8DBA-03416D4CA314}"/>
  <tableColumns count="29">
    <tableColumn id="1" xr3:uid="{4804F06C-8329-4116-B69C-60132C84DDE8}" name="ApplicationID" dataDxfId="44"/>
    <tableColumn id="2" xr3:uid="{18351839-5AE7-42D9-850E-4C2020C4B668}" name="SourceRow"/>
    <tableColumn id="3" xr3:uid="{09B2A1A3-9A72-4645-B990-E57982FAB153}" name="RecordOrigin" dataDxfId="43"/>
    <tableColumn id="4" xr3:uid="{0731998C-57F7-4027-BC88-37AAA7701E12}" name="Domain" dataDxfId="42"/>
    <tableColumn id="5" xr3:uid="{6111A776-9D96-4967-98D9-66663DCF2890}" name="PortfolioStatus" dataDxfId="41"/>
    <tableColumn id="28" xr3:uid="{1638E239-538F-4D34-98F6-4316E08D7E7C}" name="Vendor Contact Person" dataDxfId="40"/>
    <tableColumn id="29" xr3:uid="{3836E8AC-B9F0-4BA7-99B8-26E79C137804}" name="Vendor Contact Details" dataDxfId="39"/>
    <tableColumn id="6" xr3:uid="{CA891D77-A19F-40AD-B957-EC0F9A75B48F}" name="ApplicationName" dataDxfId="38"/>
    <tableColumn id="7" xr3:uid="{8E07FBC9-8F25-4B02-BBB0-1B98451AA21D}" name="Description" dataDxfId="37"/>
    <tableColumn id="8" xr3:uid="{426C0276-DC4D-4DF1-8AD9-1F391600F1FC}" name="BusinessOwner" dataDxfId="36"/>
    <tableColumn id="9" xr3:uid="{D19C03EC-5BA0-45E3-9BFA-DF2A57723AD1}" name="BusinessSPOC" dataDxfId="35"/>
    <tableColumn id="10" xr3:uid="{5F3D95C2-4C97-405B-9D21-F8C4489235A7}" name="ITOwner" dataDxfId="34"/>
    <tableColumn id="11" xr3:uid="{16BB3F67-FC0B-4297-99D4-9546F1D989F8}" name="ITSPOC" dataDxfId="33"/>
    <tableColumn id="12" xr3:uid="{9DA4AA1F-4731-4E16-9A37-33AB25BB893B}" name="Comments" dataDxfId="32"/>
    <tableColumn id="13" xr3:uid="{533D0BD7-4607-48A3-B679-AB8966D47F94}" name="ContractStartDate" dataDxfId="31"/>
    <tableColumn id="14" xr3:uid="{D165C2FE-23D3-4C8C-88B9-781EFE31972F}" name="ContractEndDate" dataDxfId="30"/>
    <tableColumn id="15" xr3:uid="{97E6AD4F-217E-4ABB-A5EB-CC1AD2350BAB}" name="RollingTerm" dataDxfId="29"/>
    <tableColumn id="16" xr3:uid="{6DDBEB12-DCDA-4A21-AC27-FBA3A3839A47}" name="NoticePeriod" dataDxfId="28"/>
    <tableColumn id="17" xr3:uid="{BA46C030-D510-4C6A-8159-58FD1DACA03E}" name="ContractStartText" dataDxfId="27"/>
    <tableColumn id="18" xr3:uid="{A44EA7BB-27C1-472B-95C1-7A0F34DD4EA3}" name="ContractEndText" dataDxfId="26"/>
    <tableColumn id="19" xr3:uid="{34060A8B-2E2F-47A1-8E73-0B65BFB36613}" name="ContractDateIssue" dataDxfId="25"/>
    <tableColumn id="20" xr3:uid="{DFAFC365-0366-431E-A4BF-A07261A25D40}" name="ContractDataStatus" dataDxfId="24"/>
    <tableColumn id="21" xr3:uid="{BCBB23F9-E494-4BD0-86AF-BFF9F64C1F94}" name="OwnershipDataStatus" dataDxfId="23"/>
    <tableColumn id="22" xr3:uid="{BAA3CC73-88F5-48F7-9B9F-96D299425328}" name="DataQualityStatus" dataDxfId="22"/>
    <tableColumn id="23" xr3:uid="{1C6D503E-1B8F-49B4-A6B1-E59324B9C6D3}" name="DataQualityIssueCount"/>
    <tableColumn id="24" xr3:uid="{2A4D9584-30AC-43BC-812B-2BF68FB6CD38}" name="DataQualityNotes" dataDxfId="21"/>
    <tableColumn id="25" xr3:uid="{FDAB970D-CD2A-4DF0-84AA-722A41B66F3A}" name="OpexSupplier" dataDxfId="20"/>
    <tableColumn id="26" xr3:uid="{864649D4-F240-4C19-BEFA-8D9059FF5948}" name="OpexCriteria" dataDxfId="19"/>
    <tableColumn id="27" xr3:uid="{B5A89077-A2E4-486B-9E5E-E5D0920AD05F}" name="MergeReviewStatus" dataDxfId="1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8E92321-C174-42C8-AF49-81F1B426D012}" name="SourceValues" displayName="SourceValues" ref="A1:R226" totalsRowShown="0" headerRowDxfId="17">
  <autoFilter ref="A1:R226" xr:uid="{58E92321-C174-42C8-AF49-81F1B426D012}"/>
  <tableColumns count="18">
    <tableColumn id="1" xr3:uid="{45C2F231-1003-4F8D-BFF5-635E6A9CE169}" name="ApplicationID" dataDxfId="16"/>
    <tableColumn id="2" xr3:uid="{D437D43F-F792-4635-8F1B-38AA3E05497F}" name="SourceRow"/>
    <tableColumn id="3" xr3:uid="{482E489B-81A8-472F-831A-4D19FCE12E2C}" name="Domain" dataDxfId="15"/>
    <tableColumn id="4" xr3:uid="{FB97728D-0C54-4CDC-B9D2-8CDCCC09D12D}" name="Status" dataDxfId="14"/>
    <tableColumn id="5" xr3:uid="{D6356239-E37A-47A0-B4A9-761B6BFEE256}" name="Application / System" dataDxfId="13"/>
    <tableColumn id="6" xr3:uid="{1E3CF603-DF91-4465-BDE2-4B8C717A98A6}" name="Description" dataDxfId="12"/>
    <tableColumn id="7" xr3:uid="{E7728478-2EF7-4860-9E8B-0844579425D4}" name="Business Owner (C-1 Dept)" dataDxfId="11"/>
    <tableColumn id="8" xr3:uid="{8D2BBDF8-133F-403C-AFC2-88DD71BFF2C1}" name="Business SPOC (Name)" dataDxfId="10"/>
    <tableColumn id="9" xr3:uid="{2047F6C9-A5BA-44B1-81CA-2F652B38114D}" name="IT Owner" dataDxfId="9"/>
    <tableColumn id="10" xr3:uid="{69A3066D-2E47-4305-A09B-0196A3164410}" name="IT SPOC" dataDxfId="8"/>
    <tableColumn id="11" xr3:uid="{99656D1C-FEFE-4948-B5B8-DAA719AD5434}" name="Comments:" dataDxfId="7"/>
    <tableColumn id="12" xr3:uid="{5E8751C2-2632-4D6C-B88D-EDAC1277FF2D}" name="Contract End" dataDxfId="6"/>
    <tableColumn id="13" xr3:uid="{9D8A30E0-DFDE-4BA8-9F9F-76FF97086AA7}" name="Rolling /Auto-renew" dataDxfId="5"/>
    <tableColumn id="14" xr3:uid="{5C89FFA9-A185-4CF6-A5EE-1DFC145467C3}" name="Notice Period" dataDxfId="4"/>
    <tableColumn id="15" xr3:uid="{C740F7CD-0769-4D0F-A1BF-F3B0E691054D}" name="Contract Start" dataDxfId="3"/>
    <tableColumn id="16" xr3:uid="{C7FDDD3D-6FC5-47B9-86B8-1B73B26F5629}" name="Opex Supplier" dataDxfId="2"/>
    <tableColumn id="17" xr3:uid="{0EF002E0-D435-4FDC-AAB5-24605604A987}" name="Opex Criteria" dataDxfId="1"/>
    <tableColumn id="18" xr3:uid="{D313E909-BA56-4CC2-8A1B-DBBB217946CA}" name="Merge Review Status"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2F8E9-1A32-4929-BD3A-59E86E0C44D4}">
  <dimension ref="A1:AC226"/>
  <sheetViews>
    <sheetView tabSelected="1" workbookViewId="0">
      <pane ySplit="1" topLeftCell="A2" activePane="bottomLeft" state="frozenSplit"/>
      <selection pane="bottomLeft" activeCell="G2" sqref="G2"/>
    </sheetView>
  </sheetViews>
  <sheetFormatPr defaultRowHeight="14.4" x14ac:dyDescent="0.3"/>
  <cols>
    <col min="1" max="1" width="14.6640625" bestFit="1" customWidth="1"/>
    <col min="2" max="2" width="12.44140625" bestFit="1" customWidth="1"/>
    <col min="3" max="3" width="14.109375" bestFit="1" customWidth="1"/>
    <col min="4" max="4" width="9.6640625" bestFit="1" customWidth="1"/>
    <col min="5" max="5" width="15.77734375" bestFit="1" customWidth="1"/>
    <col min="6" max="7" width="15.77734375" customWidth="1"/>
    <col min="8" max="8" width="34.6640625" bestFit="1" customWidth="1"/>
    <col min="9" max="9" width="40.77734375" customWidth="1"/>
    <col min="10" max="10" width="16" bestFit="1" customWidth="1"/>
    <col min="11" max="11" width="16.88671875" bestFit="1" customWidth="1"/>
    <col min="12" max="12" width="10" bestFit="1" customWidth="1"/>
    <col min="13" max="13" width="9.44140625" bestFit="1" customWidth="1"/>
    <col min="14" max="14" width="40.77734375" customWidth="1"/>
    <col min="15" max="15" width="18.5546875" bestFit="1" customWidth="1"/>
    <col min="16" max="16" width="17.5546875" bestFit="1" customWidth="1"/>
    <col min="17" max="17" width="34.44140625" bestFit="1" customWidth="1"/>
    <col min="18" max="19" width="25" bestFit="1" customWidth="1"/>
    <col min="20" max="20" width="37.109375" bestFit="1" customWidth="1"/>
    <col min="21" max="21" width="40.77734375" customWidth="1"/>
    <col min="22" max="22" width="19.88671875" bestFit="1" customWidth="1"/>
    <col min="23" max="23" width="21.5546875" bestFit="1" customWidth="1"/>
    <col min="24" max="24" width="18.5546875" bestFit="1" customWidth="1"/>
    <col min="25" max="25" width="22.5546875" bestFit="1" customWidth="1"/>
    <col min="26" max="26" width="40.77734375" customWidth="1"/>
    <col min="27" max="27" width="19.109375" bestFit="1" customWidth="1"/>
    <col min="28" max="28" width="18.77734375" bestFit="1" customWidth="1"/>
    <col min="29" max="29" width="22.5546875" bestFit="1" customWidth="1"/>
  </cols>
  <sheetData>
    <row r="1" spans="1:29" x14ac:dyDescent="0.3">
      <c r="A1" s="1" t="s">
        <v>0</v>
      </c>
      <c r="B1" t="s">
        <v>1</v>
      </c>
      <c r="C1" s="1" t="s">
        <v>2</v>
      </c>
      <c r="D1" s="1" t="s">
        <v>3</v>
      </c>
      <c r="E1" s="1" t="s">
        <v>4</v>
      </c>
      <c r="F1" s="1" t="s">
        <v>1158</v>
      </c>
      <c r="G1" s="1" t="s">
        <v>1159</v>
      </c>
      <c r="H1" s="1" t="s">
        <v>5</v>
      </c>
      <c r="I1" s="1" t="s">
        <v>6</v>
      </c>
      <c r="J1" s="1" t="s">
        <v>7</v>
      </c>
      <c r="K1" s="1" t="s">
        <v>8</v>
      </c>
      <c r="L1" s="1" t="s">
        <v>9</v>
      </c>
      <c r="M1" s="1" t="s">
        <v>10</v>
      </c>
      <c r="N1" s="1" t="s">
        <v>11</v>
      </c>
      <c r="O1" t="s">
        <v>12</v>
      </c>
      <c r="P1" t="s">
        <v>13</v>
      </c>
      <c r="Q1" s="1" t="s">
        <v>14</v>
      </c>
      <c r="R1" s="1" t="s">
        <v>15</v>
      </c>
      <c r="S1" s="1" t="s">
        <v>16</v>
      </c>
      <c r="T1" s="1" t="s">
        <v>17</v>
      </c>
      <c r="U1" s="1" t="s">
        <v>18</v>
      </c>
      <c r="V1" s="1" t="s">
        <v>19</v>
      </c>
      <c r="W1" s="1" t="s">
        <v>20</v>
      </c>
      <c r="X1" s="1" t="s">
        <v>21</v>
      </c>
      <c r="Y1" t="s">
        <v>22</v>
      </c>
      <c r="Z1" s="1" t="s">
        <v>23</v>
      </c>
      <c r="AA1" s="1" t="s">
        <v>24</v>
      </c>
      <c r="AB1" s="1" t="s">
        <v>25</v>
      </c>
      <c r="AC1" s="1" t="s">
        <v>26</v>
      </c>
    </row>
    <row r="2" spans="1:29" x14ac:dyDescent="0.3">
      <c r="A2" s="1" t="s">
        <v>27</v>
      </c>
      <c r="B2">
        <v>3</v>
      </c>
      <c r="C2" s="1" t="s">
        <v>28</v>
      </c>
      <c r="D2" s="1" t="s">
        <v>29</v>
      </c>
      <c r="E2" s="1" t="s">
        <v>30</v>
      </c>
      <c r="F2" s="1"/>
      <c r="G2" s="1"/>
      <c r="H2" s="1" t="s">
        <v>31</v>
      </c>
      <c r="I2" s="1" t="s">
        <v>32</v>
      </c>
      <c r="J2" s="1" t="s">
        <v>33</v>
      </c>
      <c r="K2" s="1" t="s">
        <v>34</v>
      </c>
      <c r="L2" s="1" t="s">
        <v>35</v>
      </c>
      <c r="M2" s="1"/>
      <c r="N2" s="1"/>
      <c r="O2" s="2">
        <v>46569</v>
      </c>
      <c r="P2" s="2">
        <v>47087</v>
      </c>
      <c r="Q2" s="1" t="s">
        <v>36</v>
      </c>
      <c r="R2" s="1" t="s">
        <v>37</v>
      </c>
      <c r="S2" s="1"/>
      <c r="T2" s="1"/>
      <c r="U2" s="1"/>
      <c r="V2" s="1" t="s">
        <v>38</v>
      </c>
      <c r="W2" s="1" t="s">
        <v>39</v>
      </c>
      <c r="X2" s="1" t="s">
        <v>40</v>
      </c>
      <c r="Y2">
        <v>1</v>
      </c>
      <c r="Z2" s="1" t="s">
        <v>41</v>
      </c>
      <c r="AA2" s="1"/>
      <c r="AB2" s="1"/>
      <c r="AC2" s="1"/>
    </row>
    <row r="3" spans="1:29" x14ac:dyDescent="0.3">
      <c r="A3" s="1" t="s">
        <v>42</v>
      </c>
      <c r="B3">
        <v>4</v>
      </c>
      <c r="C3" s="1" t="s">
        <v>28</v>
      </c>
      <c r="D3" s="1" t="s">
        <v>29</v>
      </c>
      <c r="E3" s="1" t="s">
        <v>30</v>
      </c>
      <c r="F3" s="1"/>
      <c r="G3" s="1"/>
      <c r="H3" s="1" t="s">
        <v>43</v>
      </c>
      <c r="I3" s="1" t="s">
        <v>44</v>
      </c>
      <c r="J3" s="1" t="s">
        <v>33</v>
      </c>
      <c r="K3" s="1" t="s">
        <v>45</v>
      </c>
      <c r="L3" s="1" t="s">
        <v>35</v>
      </c>
      <c r="M3" s="1"/>
      <c r="N3" s="1"/>
      <c r="O3" s="2"/>
      <c r="P3" s="2"/>
      <c r="Q3" s="1" t="s">
        <v>46</v>
      </c>
      <c r="R3" s="1" t="s">
        <v>46</v>
      </c>
      <c r="S3" s="1" t="s">
        <v>46</v>
      </c>
      <c r="T3" s="1" t="s">
        <v>46</v>
      </c>
      <c r="U3" s="1"/>
      <c r="V3" s="1" t="s">
        <v>47</v>
      </c>
      <c r="W3" s="1" t="s">
        <v>39</v>
      </c>
      <c r="X3" s="1" t="s">
        <v>48</v>
      </c>
      <c r="Y3">
        <v>0</v>
      </c>
      <c r="Z3" s="1"/>
      <c r="AA3" s="1"/>
      <c r="AB3" s="1"/>
      <c r="AC3" s="1"/>
    </row>
    <row r="4" spans="1:29" x14ac:dyDescent="0.3">
      <c r="A4" s="1" t="s">
        <v>49</v>
      </c>
      <c r="B4">
        <v>5</v>
      </c>
      <c r="C4" s="1" t="s">
        <v>28</v>
      </c>
      <c r="D4" s="1" t="s">
        <v>50</v>
      </c>
      <c r="E4" s="1" t="s">
        <v>30</v>
      </c>
      <c r="F4" s="1"/>
      <c r="G4" s="1"/>
      <c r="H4" s="1" t="s">
        <v>51</v>
      </c>
      <c r="I4" s="1" t="s">
        <v>52</v>
      </c>
      <c r="J4" s="1" t="s">
        <v>53</v>
      </c>
      <c r="K4" s="1" t="s">
        <v>54</v>
      </c>
      <c r="L4" s="1" t="s">
        <v>55</v>
      </c>
      <c r="M4" s="1"/>
      <c r="N4" s="1"/>
      <c r="O4" s="2">
        <v>45689</v>
      </c>
      <c r="P4" s="2">
        <v>46783</v>
      </c>
      <c r="Q4" s="1" t="s">
        <v>36</v>
      </c>
      <c r="R4" s="1" t="s">
        <v>56</v>
      </c>
      <c r="S4" s="1"/>
      <c r="T4" s="1"/>
      <c r="U4" s="1"/>
      <c r="V4" s="1" t="s">
        <v>39</v>
      </c>
      <c r="W4" s="1" t="s">
        <v>39</v>
      </c>
      <c r="X4" s="1" t="s">
        <v>48</v>
      </c>
      <c r="Y4">
        <v>0</v>
      </c>
      <c r="Z4" s="1"/>
      <c r="AA4" s="1"/>
      <c r="AB4" s="1"/>
      <c r="AC4" s="1"/>
    </row>
    <row r="5" spans="1:29" x14ac:dyDescent="0.3">
      <c r="A5" s="1" t="s">
        <v>57</v>
      </c>
      <c r="B5">
        <v>6</v>
      </c>
      <c r="C5" s="1" t="s">
        <v>28</v>
      </c>
      <c r="D5" s="1" t="s">
        <v>29</v>
      </c>
      <c r="E5" s="1" t="s">
        <v>30</v>
      </c>
      <c r="F5" s="1"/>
      <c r="G5" s="1"/>
      <c r="H5" s="1" t="s">
        <v>58</v>
      </c>
      <c r="I5" s="1" t="s">
        <v>59</v>
      </c>
      <c r="J5" s="1" t="s">
        <v>60</v>
      </c>
      <c r="K5" s="1"/>
      <c r="L5" s="1" t="s">
        <v>61</v>
      </c>
      <c r="M5" s="1"/>
      <c r="N5" s="1"/>
      <c r="O5" s="2"/>
      <c r="P5" s="2"/>
      <c r="Q5" s="1"/>
      <c r="R5" s="1"/>
      <c r="S5" s="1"/>
      <c r="T5" s="1"/>
      <c r="U5" s="1"/>
      <c r="V5" s="1" t="s">
        <v>62</v>
      </c>
      <c r="W5" s="1" t="s">
        <v>39</v>
      </c>
      <c r="X5" s="1" t="s">
        <v>40</v>
      </c>
      <c r="Y5">
        <v>1</v>
      </c>
      <c r="Z5" s="1" t="s">
        <v>63</v>
      </c>
      <c r="AA5" s="1"/>
      <c r="AB5" s="1"/>
      <c r="AC5" s="1"/>
    </row>
    <row r="6" spans="1:29" x14ac:dyDescent="0.3">
      <c r="A6" s="1" t="s">
        <v>64</v>
      </c>
      <c r="B6">
        <v>7</v>
      </c>
      <c r="C6" s="1" t="s">
        <v>28</v>
      </c>
      <c r="D6" s="1" t="s">
        <v>65</v>
      </c>
      <c r="E6" s="1" t="s">
        <v>30</v>
      </c>
      <c r="F6" s="1"/>
      <c r="G6" s="1"/>
      <c r="H6" s="1" t="s">
        <v>66</v>
      </c>
      <c r="I6" s="1" t="s">
        <v>67</v>
      </c>
      <c r="J6" s="1" t="s">
        <v>68</v>
      </c>
      <c r="K6" s="1" t="s">
        <v>69</v>
      </c>
      <c r="L6" s="1" t="s">
        <v>55</v>
      </c>
      <c r="M6" s="1"/>
      <c r="N6" s="1"/>
      <c r="O6" s="2">
        <v>45839</v>
      </c>
      <c r="P6" s="2"/>
      <c r="Q6" s="1" t="s">
        <v>70</v>
      </c>
      <c r="R6" s="1" t="s">
        <v>71</v>
      </c>
      <c r="S6" s="1"/>
      <c r="T6" s="1"/>
      <c r="U6" s="1" t="s">
        <v>72</v>
      </c>
      <c r="V6" s="1" t="s">
        <v>40</v>
      </c>
      <c r="W6" s="1" t="s">
        <v>39</v>
      </c>
      <c r="X6" s="1" t="s">
        <v>40</v>
      </c>
      <c r="Y6">
        <v>2</v>
      </c>
      <c r="Z6" s="1" t="s">
        <v>73</v>
      </c>
      <c r="AA6" s="1"/>
      <c r="AB6" s="1"/>
      <c r="AC6" s="1"/>
    </row>
    <row r="7" spans="1:29" x14ac:dyDescent="0.3">
      <c r="A7" s="1" t="s">
        <v>74</v>
      </c>
      <c r="B7">
        <v>8</v>
      </c>
      <c r="C7" s="1" t="s">
        <v>28</v>
      </c>
      <c r="D7" s="1" t="s">
        <v>29</v>
      </c>
      <c r="E7" s="1" t="s">
        <v>30</v>
      </c>
      <c r="F7" s="1"/>
      <c r="G7" s="1"/>
      <c r="H7" s="1" t="s">
        <v>75</v>
      </c>
      <c r="I7" s="1" t="s">
        <v>76</v>
      </c>
      <c r="J7" s="1" t="s">
        <v>60</v>
      </c>
      <c r="K7" s="1"/>
      <c r="L7" s="1" t="s">
        <v>61</v>
      </c>
      <c r="M7" s="1"/>
      <c r="N7" s="1"/>
      <c r="O7" s="2">
        <v>40909</v>
      </c>
      <c r="P7" s="2"/>
      <c r="Q7" s="1" t="s">
        <v>77</v>
      </c>
      <c r="R7" s="1" t="s">
        <v>56</v>
      </c>
      <c r="S7" s="1"/>
      <c r="T7" s="1" t="s">
        <v>78</v>
      </c>
      <c r="U7" s="1"/>
      <c r="V7" s="1" t="s">
        <v>39</v>
      </c>
      <c r="W7" s="1" t="s">
        <v>39</v>
      </c>
      <c r="X7" s="1" t="s">
        <v>48</v>
      </c>
      <c r="Y7">
        <v>0</v>
      </c>
      <c r="Z7" s="1" t="s">
        <v>79</v>
      </c>
      <c r="AA7" s="1"/>
      <c r="AB7" s="1"/>
      <c r="AC7" s="1"/>
    </row>
    <row r="8" spans="1:29" x14ac:dyDescent="0.3">
      <c r="A8" s="1" t="s">
        <v>80</v>
      </c>
      <c r="B8">
        <v>9</v>
      </c>
      <c r="C8" s="1" t="s">
        <v>28</v>
      </c>
      <c r="D8" s="1" t="s">
        <v>81</v>
      </c>
      <c r="E8" s="1" t="s">
        <v>82</v>
      </c>
      <c r="F8" s="1"/>
      <c r="G8" s="1"/>
      <c r="H8" s="1" t="s">
        <v>83</v>
      </c>
      <c r="I8" s="1" t="s">
        <v>84</v>
      </c>
      <c r="J8" s="1" t="s">
        <v>85</v>
      </c>
      <c r="K8" s="1"/>
      <c r="L8" s="1" t="s">
        <v>55</v>
      </c>
      <c r="M8" s="1"/>
      <c r="N8" s="1"/>
      <c r="O8" s="2"/>
      <c r="P8" s="2"/>
      <c r="Q8" s="1" t="s">
        <v>46</v>
      </c>
      <c r="R8" s="1" t="s">
        <v>46</v>
      </c>
      <c r="S8" s="1" t="s">
        <v>46</v>
      </c>
      <c r="T8" s="1" t="s">
        <v>46</v>
      </c>
      <c r="U8" s="1"/>
      <c r="V8" s="1" t="s">
        <v>47</v>
      </c>
      <c r="W8" s="1" t="s">
        <v>39</v>
      </c>
      <c r="X8" s="1" t="s">
        <v>40</v>
      </c>
      <c r="Y8">
        <v>1</v>
      </c>
      <c r="Z8" s="1" t="s">
        <v>86</v>
      </c>
      <c r="AA8" s="1"/>
      <c r="AB8" s="1"/>
      <c r="AC8" s="1"/>
    </row>
    <row r="9" spans="1:29" x14ac:dyDescent="0.3">
      <c r="A9" s="1" t="s">
        <v>87</v>
      </c>
      <c r="B9">
        <v>10</v>
      </c>
      <c r="C9" s="1" t="s">
        <v>28</v>
      </c>
      <c r="D9" s="1" t="s">
        <v>29</v>
      </c>
      <c r="E9" s="1" t="s">
        <v>30</v>
      </c>
      <c r="F9" s="1"/>
      <c r="G9" s="1"/>
      <c r="H9" s="1" t="s">
        <v>88</v>
      </c>
      <c r="I9" s="1" t="s">
        <v>89</v>
      </c>
      <c r="J9" s="1" t="s">
        <v>90</v>
      </c>
      <c r="K9" s="1"/>
      <c r="L9" s="1" t="s">
        <v>55</v>
      </c>
      <c r="M9" s="1"/>
      <c r="N9" s="1"/>
      <c r="O9" s="2"/>
      <c r="P9" s="2"/>
      <c r="Q9" s="1" t="s">
        <v>46</v>
      </c>
      <c r="R9" s="1" t="s">
        <v>46</v>
      </c>
      <c r="S9" s="1" t="s">
        <v>46</v>
      </c>
      <c r="T9" s="1" t="s">
        <v>46</v>
      </c>
      <c r="U9" s="1"/>
      <c r="V9" s="1" t="s">
        <v>47</v>
      </c>
      <c r="W9" s="1" t="s">
        <v>39</v>
      </c>
      <c r="X9" s="1" t="s">
        <v>48</v>
      </c>
      <c r="Y9">
        <v>0</v>
      </c>
      <c r="Z9" s="1" t="s">
        <v>79</v>
      </c>
      <c r="AA9" s="1"/>
      <c r="AB9" s="1"/>
      <c r="AC9" s="1"/>
    </row>
    <row r="10" spans="1:29" x14ac:dyDescent="0.3">
      <c r="A10" s="1" t="s">
        <v>91</v>
      </c>
      <c r="B10">
        <v>11</v>
      </c>
      <c r="C10" s="1" t="s">
        <v>28</v>
      </c>
      <c r="D10" s="1" t="s">
        <v>92</v>
      </c>
      <c r="E10" s="1" t="s">
        <v>30</v>
      </c>
      <c r="F10" s="1"/>
      <c r="G10" s="1"/>
      <c r="H10" s="1" t="s">
        <v>93</v>
      </c>
      <c r="I10" s="1" t="s">
        <v>94</v>
      </c>
      <c r="J10" s="1" t="s">
        <v>35</v>
      </c>
      <c r="K10" s="1"/>
      <c r="L10" s="1" t="s">
        <v>35</v>
      </c>
      <c r="M10" s="1"/>
      <c r="N10" s="1"/>
      <c r="O10" s="2"/>
      <c r="P10" s="2"/>
      <c r="Q10" s="1"/>
      <c r="R10" s="1"/>
      <c r="S10" s="1"/>
      <c r="T10" s="1"/>
      <c r="U10" s="1"/>
      <c r="V10" s="1" t="s">
        <v>62</v>
      </c>
      <c r="W10" s="1" t="s">
        <v>39</v>
      </c>
      <c r="X10" s="1" t="s">
        <v>40</v>
      </c>
      <c r="Y10">
        <v>1</v>
      </c>
      <c r="Z10" s="1" t="s">
        <v>63</v>
      </c>
      <c r="AA10" s="1"/>
      <c r="AB10" s="1"/>
      <c r="AC10" s="1"/>
    </row>
    <row r="11" spans="1:29" x14ac:dyDescent="0.3">
      <c r="A11" s="1" t="s">
        <v>95</v>
      </c>
      <c r="B11">
        <v>12</v>
      </c>
      <c r="C11" s="1" t="s">
        <v>28</v>
      </c>
      <c r="D11" s="1" t="s">
        <v>50</v>
      </c>
      <c r="E11" s="1" t="s">
        <v>30</v>
      </c>
      <c r="F11" s="1"/>
      <c r="G11" s="1"/>
      <c r="H11" s="1" t="s">
        <v>96</v>
      </c>
      <c r="I11" s="1" t="s">
        <v>97</v>
      </c>
      <c r="J11" s="1" t="s">
        <v>98</v>
      </c>
      <c r="K11" s="1" t="s">
        <v>99</v>
      </c>
      <c r="L11" s="1" t="s">
        <v>55</v>
      </c>
      <c r="M11" s="1"/>
      <c r="N11" s="1"/>
      <c r="O11" s="2">
        <v>45748</v>
      </c>
      <c r="P11" s="2">
        <v>46843</v>
      </c>
      <c r="Q11" s="1" t="s">
        <v>100</v>
      </c>
      <c r="R11" s="1" t="s">
        <v>101</v>
      </c>
      <c r="S11" s="1"/>
      <c r="T11" s="1"/>
      <c r="U11" s="1"/>
      <c r="V11" s="1" t="s">
        <v>39</v>
      </c>
      <c r="W11" s="1" t="s">
        <v>39</v>
      </c>
      <c r="X11" s="1" t="s">
        <v>48</v>
      </c>
      <c r="Y11">
        <v>0</v>
      </c>
      <c r="Z11" s="1"/>
      <c r="AA11" s="1"/>
      <c r="AB11" s="1"/>
      <c r="AC11" s="1"/>
    </row>
    <row r="12" spans="1:29" x14ac:dyDescent="0.3">
      <c r="A12" s="1" t="s">
        <v>102</v>
      </c>
      <c r="B12">
        <v>13</v>
      </c>
      <c r="C12" s="1" t="s">
        <v>28</v>
      </c>
      <c r="D12" s="1" t="s">
        <v>103</v>
      </c>
      <c r="E12" s="1" t="s">
        <v>104</v>
      </c>
      <c r="F12" s="1"/>
      <c r="G12" s="1"/>
      <c r="H12" s="1" t="s">
        <v>105</v>
      </c>
      <c r="I12" s="1" t="s">
        <v>106</v>
      </c>
      <c r="J12" s="1" t="s">
        <v>107</v>
      </c>
      <c r="K12" s="1"/>
      <c r="L12" s="1" t="s">
        <v>55</v>
      </c>
      <c r="M12" s="1"/>
      <c r="N12" s="1"/>
      <c r="O12" s="2"/>
      <c r="P12" s="2">
        <v>42978</v>
      </c>
      <c r="Q12" s="1" t="s">
        <v>77</v>
      </c>
      <c r="R12" s="1" t="s">
        <v>71</v>
      </c>
      <c r="S12" s="1"/>
      <c r="T12" s="1"/>
      <c r="U12" s="1"/>
      <c r="V12" s="1" t="s">
        <v>38</v>
      </c>
      <c r="W12" s="1" t="s">
        <v>39</v>
      </c>
      <c r="X12" s="1" t="s">
        <v>40</v>
      </c>
      <c r="Y12">
        <v>1</v>
      </c>
      <c r="Z12" s="1" t="s">
        <v>108</v>
      </c>
      <c r="AA12" s="1"/>
      <c r="AB12" s="1"/>
      <c r="AC12" s="1"/>
    </row>
    <row r="13" spans="1:29" x14ac:dyDescent="0.3">
      <c r="A13" s="1" t="s">
        <v>109</v>
      </c>
      <c r="B13">
        <v>14</v>
      </c>
      <c r="C13" s="1" t="s">
        <v>28</v>
      </c>
      <c r="D13" s="1" t="s">
        <v>65</v>
      </c>
      <c r="E13" s="1" t="s">
        <v>30</v>
      </c>
      <c r="F13" s="1"/>
      <c r="G13" s="1"/>
      <c r="H13" s="1" t="s">
        <v>110</v>
      </c>
      <c r="I13" s="1" t="s">
        <v>111</v>
      </c>
      <c r="J13" s="1" t="s">
        <v>112</v>
      </c>
      <c r="K13" s="1" t="s">
        <v>113</v>
      </c>
      <c r="L13" s="1" t="s">
        <v>61</v>
      </c>
      <c r="M13" s="1"/>
      <c r="N13" s="1"/>
      <c r="O13" s="2"/>
      <c r="P13" s="2"/>
      <c r="Q13" s="1"/>
      <c r="R13" s="1"/>
      <c r="S13" s="1"/>
      <c r="T13" s="1"/>
      <c r="U13" s="1"/>
      <c r="V13" s="1" t="s">
        <v>62</v>
      </c>
      <c r="W13" s="1" t="s">
        <v>39</v>
      </c>
      <c r="X13" s="1" t="s">
        <v>40</v>
      </c>
      <c r="Y13">
        <v>1</v>
      </c>
      <c r="Z13" s="1" t="s">
        <v>114</v>
      </c>
      <c r="AA13" s="1"/>
      <c r="AB13" s="1"/>
      <c r="AC13" s="1"/>
    </row>
    <row r="14" spans="1:29" x14ac:dyDescent="0.3">
      <c r="A14" s="1" t="s">
        <v>115</v>
      </c>
      <c r="B14">
        <v>15</v>
      </c>
      <c r="C14" s="1" t="s">
        <v>28</v>
      </c>
      <c r="D14" s="1" t="s">
        <v>92</v>
      </c>
      <c r="E14" s="1" t="s">
        <v>30</v>
      </c>
      <c r="F14" s="1"/>
      <c r="G14" s="1"/>
      <c r="H14" s="1" t="s">
        <v>116</v>
      </c>
      <c r="I14" s="1" t="s">
        <v>117</v>
      </c>
      <c r="J14" s="1" t="s">
        <v>35</v>
      </c>
      <c r="K14" s="1"/>
      <c r="L14" s="1" t="s">
        <v>35</v>
      </c>
      <c r="M14" s="1"/>
      <c r="N14" s="1"/>
      <c r="O14" s="2">
        <v>45649</v>
      </c>
      <c r="P14" s="2">
        <v>47199</v>
      </c>
      <c r="Q14" s="1" t="s">
        <v>36</v>
      </c>
      <c r="R14" s="1" t="s">
        <v>118</v>
      </c>
      <c r="S14" s="1"/>
      <c r="T14" s="1"/>
      <c r="U14" s="1"/>
      <c r="V14" s="1" t="s">
        <v>39</v>
      </c>
      <c r="W14" s="1" t="s">
        <v>39</v>
      </c>
      <c r="X14" s="1" t="s">
        <v>48</v>
      </c>
      <c r="Y14">
        <v>0</v>
      </c>
      <c r="Z14" s="1" t="s">
        <v>79</v>
      </c>
      <c r="AA14" s="1"/>
      <c r="AB14" s="1"/>
      <c r="AC14" s="1"/>
    </row>
    <row r="15" spans="1:29" x14ac:dyDescent="0.3">
      <c r="A15" s="1" t="s">
        <v>119</v>
      </c>
      <c r="B15">
        <v>16</v>
      </c>
      <c r="C15" s="1" t="s">
        <v>28</v>
      </c>
      <c r="D15" s="1" t="s">
        <v>120</v>
      </c>
      <c r="E15" s="1" t="s">
        <v>30</v>
      </c>
      <c r="F15" s="1"/>
      <c r="G15" s="1"/>
      <c r="H15" s="1" t="s">
        <v>121</v>
      </c>
      <c r="I15" s="1" t="s">
        <v>122</v>
      </c>
      <c r="J15" s="1" t="s">
        <v>123</v>
      </c>
      <c r="K15" s="1" t="s">
        <v>123</v>
      </c>
      <c r="L15" s="1" t="s">
        <v>55</v>
      </c>
      <c r="M15" s="1"/>
      <c r="N15" s="1"/>
      <c r="O15" s="2">
        <v>46054</v>
      </c>
      <c r="P15" s="2">
        <v>47150</v>
      </c>
      <c r="Q15" s="1" t="s">
        <v>77</v>
      </c>
      <c r="R15" s="1" t="s">
        <v>56</v>
      </c>
      <c r="S15" s="1"/>
      <c r="T15" s="1"/>
      <c r="U15" s="1"/>
      <c r="V15" s="1" t="s">
        <v>39</v>
      </c>
      <c r="W15" s="1" t="s">
        <v>39</v>
      </c>
      <c r="X15" s="1" t="s">
        <v>48</v>
      </c>
      <c r="Y15">
        <v>0</v>
      </c>
      <c r="Z15" s="1"/>
      <c r="AA15" s="1"/>
      <c r="AB15" s="1"/>
      <c r="AC15" s="1"/>
    </row>
    <row r="16" spans="1:29" x14ac:dyDescent="0.3">
      <c r="A16" s="1" t="s">
        <v>124</v>
      </c>
      <c r="B16">
        <v>17</v>
      </c>
      <c r="C16" s="1" t="s">
        <v>28</v>
      </c>
      <c r="D16" s="1" t="s">
        <v>120</v>
      </c>
      <c r="E16" s="1" t="s">
        <v>30</v>
      </c>
      <c r="F16" s="1"/>
      <c r="G16" s="1"/>
      <c r="H16" s="1" t="s">
        <v>125</v>
      </c>
      <c r="I16" s="1" t="s">
        <v>126</v>
      </c>
      <c r="J16" s="1" t="s">
        <v>127</v>
      </c>
      <c r="K16" s="1" t="s">
        <v>127</v>
      </c>
      <c r="L16" s="1" t="s">
        <v>61</v>
      </c>
      <c r="M16" s="1"/>
      <c r="N16" s="1"/>
      <c r="O16" s="2"/>
      <c r="P16" s="2"/>
      <c r="Q16" s="1"/>
      <c r="R16" s="1"/>
      <c r="S16" s="1"/>
      <c r="T16" s="1"/>
      <c r="U16" s="1"/>
      <c r="V16" s="1" t="s">
        <v>62</v>
      </c>
      <c r="W16" s="1" t="s">
        <v>39</v>
      </c>
      <c r="X16" s="1" t="s">
        <v>40</v>
      </c>
      <c r="Y16">
        <v>1</v>
      </c>
      <c r="Z16" s="1" t="s">
        <v>114</v>
      </c>
      <c r="AA16" s="1"/>
      <c r="AB16" s="1"/>
      <c r="AC16" s="1"/>
    </row>
    <row r="17" spans="1:29" x14ac:dyDescent="0.3">
      <c r="A17" s="1" t="s">
        <v>128</v>
      </c>
      <c r="B17">
        <v>18</v>
      </c>
      <c r="C17" s="1" t="s">
        <v>28</v>
      </c>
      <c r="D17" s="1" t="s">
        <v>29</v>
      </c>
      <c r="E17" s="1" t="s">
        <v>30</v>
      </c>
      <c r="F17" s="1"/>
      <c r="G17" s="1"/>
      <c r="H17" s="1" t="s">
        <v>129</v>
      </c>
      <c r="I17" s="1" t="s">
        <v>130</v>
      </c>
      <c r="J17" s="1" t="s">
        <v>90</v>
      </c>
      <c r="K17" s="1" t="s">
        <v>131</v>
      </c>
      <c r="L17" s="1" t="s">
        <v>35</v>
      </c>
      <c r="M17" s="1"/>
      <c r="N17" s="1"/>
      <c r="O17" s="2">
        <v>41763</v>
      </c>
      <c r="P17" s="2">
        <v>42947</v>
      </c>
      <c r="Q17" s="1" t="s">
        <v>77</v>
      </c>
      <c r="R17" s="1" t="s">
        <v>56</v>
      </c>
      <c r="S17" s="1"/>
      <c r="T17" s="1"/>
      <c r="U17" s="1"/>
      <c r="V17" s="1" t="s">
        <v>39</v>
      </c>
      <c r="W17" s="1" t="s">
        <v>39</v>
      </c>
      <c r="X17" s="1" t="s">
        <v>48</v>
      </c>
      <c r="Y17">
        <v>0</v>
      </c>
      <c r="Z17" s="1"/>
      <c r="AA17" s="1"/>
      <c r="AB17" s="1"/>
      <c r="AC17" s="1"/>
    </row>
    <row r="18" spans="1:29" x14ac:dyDescent="0.3">
      <c r="A18" s="1" t="s">
        <v>132</v>
      </c>
      <c r="B18">
        <v>19</v>
      </c>
      <c r="C18" s="1" t="s">
        <v>28</v>
      </c>
      <c r="D18" s="1" t="s">
        <v>29</v>
      </c>
      <c r="E18" s="1" t="s">
        <v>30</v>
      </c>
      <c r="F18" s="1"/>
      <c r="G18" s="1"/>
      <c r="H18" s="1" t="s">
        <v>133</v>
      </c>
      <c r="I18" s="1" t="s">
        <v>134</v>
      </c>
      <c r="J18" s="1" t="s">
        <v>90</v>
      </c>
      <c r="K18" s="1" t="s">
        <v>131</v>
      </c>
      <c r="L18" s="1" t="s">
        <v>35</v>
      </c>
      <c r="M18" s="1"/>
      <c r="N18" s="1"/>
      <c r="O18" s="2">
        <v>41763</v>
      </c>
      <c r="P18" s="2">
        <v>42947</v>
      </c>
      <c r="Q18" s="1" t="s">
        <v>77</v>
      </c>
      <c r="R18" s="1" t="s">
        <v>56</v>
      </c>
      <c r="S18" s="1"/>
      <c r="T18" s="1"/>
      <c r="U18" s="1"/>
      <c r="V18" s="1" t="s">
        <v>39</v>
      </c>
      <c r="W18" s="1" t="s">
        <v>39</v>
      </c>
      <c r="X18" s="1" t="s">
        <v>48</v>
      </c>
      <c r="Y18">
        <v>0</v>
      </c>
      <c r="Z18" s="1"/>
      <c r="AA18" s="1"/>
      <c r="AB18" s="1"/>
      <c r="AC18" s="1"/>
    </row>
    <row r="19" spans="1:29" x14ac:dyDescent="0.3">
      <c r="A19" s="1" t="s">
        <v>135</v>
      </c>
      <c r="B19">
        <v>20</v>
      </c>
      <c r="C19" s="1" t="s">
        <v>28</v>
      </c>
      <c r="D19" s="1" t="s">
        <v>50</v>
      </c>
      <c r="E19" s="1" t="s">
        <v>30</v>
      </c>
      <c r="F19" s="1"/>
      <c r="G19" s="1"/>
      <c r="H19" s="1" t="s">
        <v>136</v>
      </c>
      <c r="I19" s="1" t="s">
        <v>137</v>
      </c>
      <c r="J19" s="1" t="s">
        <v>53</v>
      </c>
      <c r="K19" s="1" t="s">
        <v>138</v>
      </c>
      <c r="L19" s="1" t="s">
        <v>61</v>
      </c>
      <c r="M19" s="1"/>
      <c r="N19" s="1"/>
      <c r="O19" s="2">
        <v>45748</v>
      </c>
      <c r="P19" s="2">
        <v>46843</v>
      </c>
      <c r="Q19" s="1" t="s">
        <v>100</v>
      </c>
      <c r="R19" s="1" t="s">
        <v>101</v>
      </c>
      <c r="S19" s="1"/>
      <c r="T19" s="1"/>
      <c r="U19" s="1"/>
      <c r="V19" s="1" t="s">
        <v>39</v>
      </c>
      <c r="W19" s="1" t="s">
        <v>39</v>
      </c>
      <c r="X19" s="1" t="s">
        <v>48</v>
      </c>
      <c r="Y19">
        <v>0</v>
      </c>
      <c r="Z19" s="1"/>
      <c r="AA19" s="1"/>
      <c r="AB19" s="1"/>
      <c r="AC19" s="1"/>
    </row>
    <row r="20" spans="1:29" x14ac:dyDescent="0.3">
      <c r="A20" s="1" t="s">
        <v>139</v>
      </c>
      <c r="B20">
        <v>21</v>
      </c>
      <c r="C20" s="1" t="s">
        <v>28</v>
      </c>
      <c r="D20" s="1" t="s">
        <v>29</v>
      </c>
      <c r="E20" s="1" t="s">
        <v>30</v>
      </c>
      <c r="F20" s="1"/>
      <c r="G20" s="1"/>
      <c r="H20" s="1" t="s">
        <v>140</v>
      </c>
      <c r="I20" s="1" t="s">
        <v>141</v>
      </c>
      <c r="J20" s="1" t="s">
        <v>33</v>
      </c>
      <c r="K20" s="1" t="s">
        <v>142</v>
      </c>
      <c r="L20" s="1" t="s">
        <v>35</v>
      </c>
      <c r="M20" s="1"/>
      <c r="N20" s="1"/>
      <c r="O20" s="2">
        <v>45627</v>
      </c>
      <c r="P20" s="2">
        <v>45991</v>
      </c>
      <c r="Q20" s="1" t="s">
        <v>100</v>
      </c>
      <c r="R20" s="1" t="s">
        <v>56</v>
      </c>
      <c r="S20" s="1"/>
      <c r="T20" s="1"/>
      <c r="U20" s="1"/>
      <c r="V20" s="1" t="s">
        <v>39</v>
      </c>
      <c r="W20" s="1" t="s">
        <v>39</v>
      </c>
      <c r="X20" s="1" t="s">
        <v>48</v>
      </c>
      <c r="Y20">
        <v>0</v>
      </c>
      <c r="Z20" s="1"/>
      <c r="AA20" s="1"/>
      <c r="AB20" s="1"/>
      <c r="AC20" s="1"/>
    </row>
    <row r="21" spans="1:29" x14ac:dyDescent="0.3">
      <c r="A21" s="1" t="s">
        <v>143</v>
      </c>
      <c r="B21">
        <v>22</v>
      </c>
      <c r="C21" s="1" t="s">
        <v>28</v>
      </c>
      <c r="D21" s="1" t="s">
        <v>65</v>
      </c>
      <c r="E21" s="1" t="s">
        <v>30</v>
      </c>
      <c r="F21" s="1"/>
      <c r="G21" s="1"/>
      <c r="H21" s="1" t="s">
        <v>144</v>
      </c>
      <c r="I21" s="1" t="s">
        <v>145</v>
      </c>
      <c r="J21" s="1" t="s">
        <v>146</v>
      </c>
      <c r="K21" s="1" t="s">
        <v>146</v>
      </c>
      <c r="L21" s="1" t="s">
        <v>61</v>
      </c>
      <c r="M21" s="1"/>
      <c r="N21" s="1"/>
      <c r="O21" s="2">
        <v>40909</v>
      </c>
      <c r="P21" s="2"/>
      <c r="Q21" s="1" t="s">
        <v>147</v>
      </c>
      <c r="R21" s="1" t="s">
        <v>56</v>
      </c>
      <c r="S21" s="1"/>
      <c r="T21" s="1" t="s">
        <v>78</v>
      </c>
      <c r="U21" s="1"/>
      <c r="V21" s="1" t="s">
        <v>39</v>
      </c>
      <c r="W21" s="1" t="s">
        <v>39</v>
      </c>
      <c r="X21" s="1" t="s">
        <v>48</v>
      </c>
      <c r="Y21">
        <v>0</v>
      </c>
      <c r="Z21" s="1"/>
      <c r="AA21" s="1"/>
      <c r="AB21" s="1"/>
      <c r="AC21" s="1"/>
    </row>
    <row r="22" spans="1:29" x14ac:dyDescent="0.3">
      <c r="A22" s="1" t="s">
        <v>148</v>
      </c>
      <c r="B22">
        <v>23</v>
      </c>
      <c r="C22" s="1" t="s">
        <v>28</v>
      </c>
      <c r="D22" s="1" t="s">
        <v>50</v>
      </c>
      <c r="E22" s="1" t="s">
        <v>30</v>
      </c>
      <c r="F22" s="1"/>
      <c r="G22" s="1"/>
      <c r="H22" s="1" t="s">
        <v>149</v>
      </c>
      <c r="I22" s="1" t="s">
        <v>150</v>
      </c>
      <c r="J22" s="1" t="s">
        <v>53</v>
      </c>
      <c r="K22" s="1" t="s">
        <v>138</v>
      </c>
      <c r="L22" s="1" t="s">
        <v>61</v>
      </c>
      <c r="M22" s="1"/>
      <c r="N22" s="1"/>
      <c r="O22" s="2"/>
      <c r="P22" s="2"/>
      <c r="Q22" s="1"/>
      <c r="R22" s="1"/>
      <c r="S22" s="1"/>
      <c r="T22" s="1"/>
      <c r="U22" s="1"/>
      <c r="V22" s="1" t="s">
        <v>62</v>
      </c>
      <c r="W22" s="1" t="s">
        <v>39</v>
      </c>
      <c r="X22" s="1" t="s">
        <v>40</v>
      </c>
      <c r="Y22">
        <v>1</v>
      </c>
      <c r="Z22" s="1" t="s">
        <v>114</v>
      </c>
      <c r="AA22" s="1"/>
      <c r="AB22" s="1"/>
      <c r="AC22" s="1"/>
    </row>
    <row r="23" spans="1:29" x14ac:dyDescent="0.3">
      <c r="A23" s="1" t="s">
        <v>151</v>
      </c>
      <c r="B23">
        <v>24</v>
      </c>
      <c r="C23" s="1" t="s">
        <v>28</v>
      </c>
      <c r="D23" s="1" t="s">
        <v>29</v>
      </c>
      <c r="E23" s="1" t="s">
        <v>30</v>
      </c>
      <c r="F23" s="1"/>
      <c r="G23" s="1"/>
      <c r="H23" s="1" t="s">
        <v>152</v>
      </c>
      <c r="I23" s="1" t="s">
        <v>153</v>
      </c>
      <c r="J23" s="1" t="s">
        <v>33</v>
      </c>
      <c r="K23" s="1" t="s">
        <v>154</v>
      </c>
      <c r="L23" s="1" t="s">
        <v>35</v>
      </c>
      <c r="M23" s="1"/>
      <c r="N23" s="1"/>
      <c r="O23" s="2">
        <v>45809</v>
      </c>
      <c r="P23" s="2">
        <v>46538</v>
      </c>
      <c r="Q23" s="1" t="s">
        <v>36</v>
      </c>
      <c r="R23" s="1" t="s">
        <v>56</v>
      </c>
      <c r="S23" s="1"/>
      <c r="T23" s="1"/>
      <c r="U23" s="1"/>
      <c r="V23" s="1" t="s">
        <v>39</v>
      </c>
      <c r="W23" s="1" t="s">
        <v>39</v>
      </c>
      <c r="X23" s="1" t="s">
        <v>48</v>
      </c>
      <c r="Y23">
        <v>0</v>
      </c>
      <c r="Z23" s="1"/>
      <c r="AA23" s="1"/>
      <c r="AB23" s="1"/>
      <c r="AC23" s="1"/>
    </row>
    <row r="24" spans="1:29" x14ac:dyDescent="0.3">
      <c r="A24" s="1" t="s">
        <v>155</v>
      </c>
      <c r="B24">
        <v>25</v>
      </c>
      <c r="C24" s="1" t="s">
        <v>28</v>
      </c>
      <c r="D24" s="1" t="s">
        <v>65</v>
      </c>
      <c r="E24" s="1" t="s">
        <v>30</v>
      </c>
      <c r="F24" s="1"/>
      <c r="G24" s="1"/>
      <c r="H24" s="1" t="s">
        <v>156</v>
      </c>
      <c r="I24" s="1" t="s">
        <v>157</v>
      </c>
      <c r="J24" s="1" t="s">
        <v>158</v>
      </c>
      <c r="K24" s="1" t="s">
        <v>159</v>
      </c>
      <c r="L24" s="1" t="s">
        <v>55</v>
      </c>
      <c r="M24" s="1"/>
      <c r="N24" s="1"/>
      <c r="O24" s="2">
        <v>45292</v>
      </c>
      <c r="P24" s="2">
        <v>47118</v>
      </c>
      <c r="Q24" s="1" t="s">
        <v>77</v>
      </c>
      <c r="R24" s="1" t="s">
        <v>56</v>
      </c>
      <c r="S24" s="1"/>
      <c r="T24" s="1"/>
      <c r="U24" s="1"/>
      <c r="V24" s="1" t="s">
        <v>39</v>
      </c>
      <c r="W24" s="1" t="s">
        <v>39</v>
      </c>
      <c r="X24" s="1" t="s">
        <v>48</v>
      </c>
      <c r="Y24">
        <v>0</v>
      </c>
      <c r="Z24" s="1"/>
      <c r="AA24" s="1"/>
      <c r="AB24" s="1"/>
      <c r="AC24" s="1"/>
    </row>
    <row r="25" spans="1:29" x14ac:dyDescent="0.3">
      <c r="A25" s="1" t="s">
        <v>160</v>
      </c>
      <c r="B25">
        <v>26</v>
      </c>
      <c r="C25" s="1" t="s">
        <v>28</v>
      </c>
      <c r="D25" s="1" t="s">
        <v>29</v>
      </c>
      <c r="E25" s="1" t="s">
        <v>30</v>
      </c>
      <c r="F25" s="1"/>
      <c r="G25" s="1"/>
      <c r="H25" s="1" t="s">
        <v>161</v>
      </c>
      <c r="I25" s="1" t="s">
        <v>162</v>
      </c>
      <c r="J25" s="1" t="s">
        <v>33</v>
      </c>
      <c r="K25" s="1" t="s">
        <v>34</v>
      </c>
      <c r="L25" s="1" t="s">
        <v>61</v>
      </c>
      <c r="M25" s="1"/>
      <c r="N25" s="1"/>
      <c r="O25" s="2"/>
      <c r="P25" s="2"/>
      <c r="Q25" s="1"/>
      <c r="R25" s="1"/>
      <c r="S25" s="1"/>
      <c r="T25" s="1"/>
      <c r="U25" s="1"/>
      <c r="V25" s="1" t="s">
        <v>62</v>
      </c>
      <c r="W25" s="1" t="s">
        <v>39</v>
      </c>
      <c r="X25" s="1" t="s">
        <v>40</v>
      </c>
      <c r="Y25">
        <v>1</v>
      </c>
      <c r="Z25" s="1" t="s">
        <v>114</v>
      </c>
      <c r="AA25" s="1"/>
      <c r="AB25" s="1"/>
      <c r="AC25" s="1"/>
    </row>
    <row r="26" spans="1:29" x14ac:dyDescent="0.3">
      <c r="A26" s="1" t="s">
        <v>163</v>
      </c>
      <c r="B26">
        <v>27</v>
      </c>
      <c r="C26" s="1" t="s">
        <v>28</v>
      </c>
      <c r="D26" s="1" t="s">
        <v>92</v>
      </c>
      <c r="E26" s="1" t="s">
        <v>30</v>
      </c>
      <c r="F26" s="1"/>
      <c r="G26" s="1"/>
      <c r="H26" s="1" t="s">
        <v>164</v>
      </c>
      <c r="I26" s="1" t="s">
        <v>165</v>
      </c>
      <c r="J26" s="1" t="s">
        <v>61</v>
      </c>
      <c r="K26" s="1"/>
      <c r="L26" s="1" t="s">
        <v>61</v>
      </c>
      <c r="M26" s="1"/>
      <c r="N26" s="1"/>
      <c r="O26" s="2"/>
      <c r="P26" s="2"/>
      <c r="Q26" s="1"/>
      <c r="R26" s="1"/>
      <c r="S26" s="1"/>
      <c r="T26" s="1"/>
      <c r="U26" s="1"/>
      <c r="V26" s="1" t="s">
        <v>62</v>
      </c>
      <c r="W26" s="1" t="s">
        <v>39</v>
      </c>
      <c r="X26" s="1" t="s">
        <v>40</v>
      </c>
      <c r="Y26">
        <v>1</v>
      </c>
      <c r="Z26" s="1" t="s">
        <v>63</v>
      </c>
      <c r="AA26" s="1"/>
      <c r="AB26" s="1"/>
      <c r="AC26" s="1"/>
    </row>
    <row r="27" spans="1:29" x14ac:dyDescent="0.3">
      <c r="A27" s="1" t="s">
        <v>166</v>
      </c>
      <c r="B27">
        <v>28</v>
      </c>
      <c r="C27" s="1" t="s">
        <v>28</v>
      </c>
      <c r="D27" s="1" t="s">
        <v>29</v>
      </c>
      <c r="E27" s="1" t="s">
        <v>30</v>
      </c>
      <c r="F27" s="1"/>
      <c r="G27" s="1"/>
      <c r="H27" s="1" t="s">
        <v>167</v>
      </c>
      <c r="I27" s="1" t="s">
        <v>168</v>
      </c>
      <c r="J27" s="1" t="s">
        <v>60</v>
      </c>
      <c r="K27" s="1"/>
      <c r="L27" s="1" t="s">
        <v>55</v>
      </c>
      <c r="M27" s="1"/>
      <c r="N27" s="1"/>
      <c r="O27" s="2">
        <v>45458</v>
      </c>
      <c r="P27" s="2">
        <v>45822</v>
      </c>
      <c r="Q27" s="1" t="s">
        <v>77</v>
      </c>
      <c r="R27" s="1" t="s">
        <v>56</v>
      </c>
      <c r="S27" s="1"/>
      <c r="T27" s="1"/>
      <c r="U27" s="1"/>
      <c r="V27" s="1" t="s">
        <v>39</v>
      </c>
      <c r="W27" s="1" t="s">
        <v>39</v>
      </c>
      <c r="X27" s="1" t="s">
        <v>48</v>
      </c>
      <c r="Y27">
        <v>0</v>
      </c>
      <c r="Z27" s="1" t="s">
        <v>79</v>
      </c>
      <c r="AA27" s="1"/>
      <c r="AB27" s="1"/>
      <c r="AC27" s="1"/>
    </row>
    <row r="28" spans="1:29" x14ac:dyDescent="0.3">
      <c r="A28" s="1" t="s">
        <v>169</v>
      </c>
      <c r="B28">
        <v>29</v>
      </c>
      <c r="C28" s="1" t="s">
        <v>28</v>
      </c>
      <c r="D28" s="1" t="s">
        <v>29</v>
      </c>
      <c r="E28" s="1" t="s">
        <v>30</v>
      </c>
      <c r="F28" s="1"/>
      <c r="G28" s="1"/>
      <c r="H28" s="1" t="s">
        <v>170</v>
      </c>
      <c r="I28" s="1" t="s">
        <v>171</v>
      </c>
      <c r="J28" s="1" t="s">
        <v>33</v>
      </c>
      <c r="K28" s="1" t="s">
        <v>172</v>
      </c>
      <c r="L28" s="1" t="s">
        <v>35</v>
      </c>
      <c r="M28" s="1"/>
      <c r="N28" s="1"/>
      <c r="O28" s="2"/>
      <c r="P28" s="2"/>
      <c r="Q28" s="1" t="s">
        <v>46</v>
      </c>
      <c r="R28" s="1" t="s">
        <v>46</v>
      </c>
      <c r="S28" s="1" t="s">
        <v>46</v>
      </c>
      <c r="T28" s="1" t="s">
        <v>46</v>
      </c>
      <c r="U28" s="1"/>
      <c r="V28" s="1" t="s">
        <v>47</v>
      </c>
      <c r="W28" s="1" t="s">
        <v>39</v>
      </c>
      <c r="X28" s="1" t="s">
        <v>48</v>
      </c>
      <c r="Y28">
        <v>0</v>
      </c>
      <c r="Z28" s="1"/>
      <c r="AA28" s="1"/>
      <c r="AB28" s="1"/>
      <c r="AC28" s="1"/>
    </row>
    <row r="29" spans="1:29" x14ac:dyDescent="0.3">
      <c r="A29" s="1" t="s">
        <v>173</v>
      </c>
      <c r="B29">
        <v>30</v>
      </c>
      <c r="C29" s="1" t="s">
        <v>28</v>
      </c>
      <c r="D29" s="1" t="s">
        <v>92</v>
      </c>
      <c r="E29" s="1" t="s">
        <v>30</v>
      </c>
      <c r="F29" s="1"/>
      <c r="G29" s="1"/>
      <c r="H29" s="1" t="s">
        <v>174</v>
      </c>
      <c r="I29" s="1" t="s">
        <v>175</v>
      </c>
      <c r="J29" s="1" t="s">
        <v>61</v>
      </c>
      <c r="K29" s="1"/>
      <c r="L29" s="1" t="s">
        <v>61</v>
      </c>
      <c r="M29" s="1"/>
      <c r="N29" s="1"/>
      <c r="O29" s="2"/>
      <c r="P29" s="2"/>
      <c r="Q29" s="1"/>
      <c r="R29" s="1"/>
      <c r="S29" s="1"/>
      <c r="T29" s="1"/>
      <c r="U29" s="1"/>
      <c r="V29" s="1" t="s">
        <v>62</v>
      </c>
      <c r="W29" s="1" t="s">
        <v>39</v>
      </c>
      <c r="X29" s="1" t="s">
        <v>40</v>
      </c>
      <c r="Y29">
        <v>1</v>
      </c>
      <c r="Z29" s="1" t="s">
        <v>63</v>
      </c>
      <c r="AA29" s="1"/>
      <c r="AB29" s="1"/>
      <c r="AC29" s="1"/>
    </row>
    <row r="30" spans="1:29" x14ac:dyDescent="0.3">
      <c r="A30" s="1" t="s">
        <v>176</v>
      </c>
      <c r="B30">
        <v>31</v>
      </c>
      <c r="C30" s="1" t="s">
        <v>28</v>
      </c>
      <c r="D30" s="1" t="s">
        <v>29</v>
      </c>
      <c r="E30" s="1" t="s">
        <v>30</v>
      </c>
      <c r="F30" s="1"/>
      <c r="G30" s="1"/>
      <c r="H30" s="1" t="s">
        <v>177</v>
      </c>
      <c r="I30" s="1" t="s">
        <v>178</v>
      </c>
      <c r="J30" s="1" t="s">
        <v>33</v>
      </c>
      <c r="K30" s="1" t="s">
        <v>172</v>
      </c>
      <c r="L30" s="1" t="s">
        <v>35</v>
      </c>
      <c r="M30" s="1"/>
      <c r="N30" s="1"/>
      <c r="O30" s="2"/>
      <c r="P30" s="2"/>
      <c r="Q30" s="1"/>
      <c r="R30" s="1"/>
      <c r="S30" s="1"/>
      <c r="T30" s="1"/>
      <c r="U30" s="1"/>
      <c r="V30" s="1" t="s">
        <v>62</v>
      </c>
      <c r="W30" s="1" t="s">
        <v>39</v>
      </c>
      <c r="X30" s="1" t="s">
        <v>40</v>
      </c>
      <c r="Y30">
        <v>1</v>
      </c>
      <c r="Z30" s="1" t="s">
        <v>114</v>
      </c>
      <c r="AA30" s="1"/>
      <c r="AB30" s="1"/>
      <c r="AC30" s="1"/>
    </row>
    <row r="31" spans="1:29" x14ac:dyDescent="0.3">
      <c r="A31" s="1" t="s">
        <v>179</v>
      </c>
      <c r="B31">
        <v>32</v>
      </c>
      <c r="C31" s="1" t="s">
        <v>28</v>
      </c>
      <c r="D31" s="1" t="s">
        <v>81</v>
      </c>
      <c r="E31" s="1" t="s">
        <v>82</v>
      </c>
      <c r="F31" s="1"/>
      <c r="G31" s="1"/>
      <c r="H31" s="1" t="s">
        <v>180</v>
      </c>
      <c r="I31" s="1" t="s">
        <v>181</v>
      </c>
      <c r="J31" s="1" t="s">
        <v>85</v>
      </c>
      <c r="K31" s="1"/>
      <c r="L31" s="1" t="s">
        <v>55</v>
      </c>
      <c r="M31" s="1"/>
      <c r="N31" s="1"/>
      <c r="O31" s="2"/>
      <c r="P31" s="2"/>
      <c r="Q31" s="1" t="s">
        <v>46</v>
      </c>
      <c r="R31" s="1" t="s">
        <v>46</v>
      </c>
      <c r="S31" s="1" t="s">
        <v>46</v>
      </c>
      <c r="T31" s="1" t="s">
        <v>46</v>
      </c>
      <c r="U31" s="1"/>
      <c r="V31" s="1" t="s">
        <v>47</v>
      </c>
      <c r="W31" s="1" t="s">
        <v>39</v>
      </c>
      <c r="X31" s="1" t="s">
        <v>40</v>
      </c>
      <c r="Y31">
        <v>1</v>
      </c>
      <c r="Z31" s="1" t="s">
        <v>86</v>
      </c>
      <c r="AA31" s="1"/>
      <c r="AB31" s="1"/>
      <c r="AC31" s="1"/>
    </row>
    <row r="32" spans="1:29" x14ac:dyDescent="0.3">
      <c r="A32" s="1" t="s">
        <v>182</v>
      </c>
      <c r="B32">
        <v>33</v>
      </c>
      <c r="C32" s="1" t="s">
        <v>28</v>
      </c>
      <c r="D32" s="1" t="s">
        <v>29</v>
      </c>
      <c r="E32" s="1" t="s">
        <v>30</v>
      </c>
      <c r="F32" s="1"/>
      <c r="G32" s="1"/>
      <c r="H32" s="1" t="s">
        <v>183</v>
      </c>
      <c r="I32" s="1" t="s">
        <v>184</v>
      </c>
      <c r="J32" s="1" t="s">
        <v>60</v>
      </c>
      <c r="K32" s="1"/>
      <c r="L32" s="1" t="s">
        <v>55</v>
      </c>
      <c r="M32" s="1"/>
      <c r="N32" s="1"/>
      <c r="O32" s="2">
        <v>45689</v>
      </c>
      <c r="P32" s="2">
        <v>46053</v>
      </c>
      <c r="Q32" s="1" t="s">
        <v>100</v>
      </c>
      <c r="R32" s="1" t="s">
        <v>37</v>
      </c>
      <c r="S32" s="1"/>
      <c r="T32" s="1"/>
      <c r="U32" s="1"/>
      <c r="V32" s="1" t="s">
        <v>38</v>
      </c>
      <c r="W32" s="1" t="s">
        <v>39</v>
      </c>
      <c r="X32" s="1" t="s">
        <v>40</v>
      </c>
      <c r="Y32">
        <v>1</v>
      </c>
      <c r="Z32" s="1" t="s">
        <v>108</v>
      </c>
      <c r="AA32" s="1"/>
      <c r="AB32" s="1"/>
      <c r="AC32" s="1"/>
    </row>
    <row r="33" spans="1:29" x14ac:dyDescent="0.3">
      <c r="A33" s="1" t="s">
        <v>185</v>
      </c>
      <c r="B33">
        <v>34</v>
      </c>
      <c r="C33" s="1" t="s">
        <v>28</v>
      </c>
      <c r="D33" s="1" t="s">
        <v>29</v>
      </c>
      <c r="E33" s="1" t="s">
        <v>30</v>
      </c>
      <c r="F33" s="1"/>
      <c r="G33" s="1"/>
      <c r="H33" s="1" t="s">
        <v>186</v>
      </c>
      <c r="I33" s="1" t="s">
        <v>187</v>
      </c>
      <c r="J33" s="1" t="s">
        <v>33</v>
      </c>
      <c r="K33" s="1" t="s">
        <v>188</v>
      </c>
      <c r="L33" s="1" t="s">
        <v>35</v>
      </c>
      <c r="M33" s="1"/>
      <c r="N33" s="1"/>
      <c r="O33" s="2"/>
      <c r="P33" s="2"/>
      <c r="Q33" s="1" t="s">
        <v>46</v>
      </c>
      <c r="R33" s="1" t="s">
        <v>46</v>
      </c>
      <c r="S33" s="1" t="s">
        <v>46</v>
      </c>
      <c r="T33" s="1" t="s">
        <v>46</v>
      </c>
      <c r="U33" s="1"/>
      <c r="V33" s="1" t="s">
        <v>47</v>
      </c>
      <c r="W33" s="1" t="s">
        <v>39</v>
      </c>
      <c r="X33" s="1" t="s">
        <v>48</v>
      </c>
      <c r="Y33">
        <v>0</v>
      </c>
      <c r="Z33" s="1"/>
      <c r="AA33" s="1"/>
      <c r="AB33" s="1"/>
      <c r="AC33" s="1"/>
    </row>
    <row r="34" spans="1:29" x14ac:dyDescent="0.3">
      <c r="A34" s="1" t="s">
        <v>189</v>
      </c>
      <c r="B34">
        <v>35</v>
      </c>
      <c r="C34" s="1" t="s">
        <v>28</v>
      </c>
      <c r="D34" s="1" t="s">
        <v>29</v>
      </c>
      <c r="E34" s="1" t="s">
        <v>30</v>
      </c>
      <c r="F34" s="1"/>
      <c r="G34" s="1"/>
      <c r="H34" s="1" t="s">
        <v>190</v>
      </c>
      <c r="I34" s="1" t="s">
        <v>191</v>
      </c>
      <c r="J34" s="1" t="s">
        <v>90</v>
      </c>
      <c r="K34" s="1" t="s">
        <v>192</v>
      </c>
      <c r="L34" s="1" t="s">
        <v>55</v>
      </c>
      <c r="M34" s="1"/>
      <c r="N34" s="1"/>
      <c r="O34" s="2">
        <v>46691</v>
      </c>
      <c r="P34" s="2">
        <v>46691</v>
      </c>
      <c r="Q34" s="1" t="s">
        <v>193</v>
      </c>
      <c r="R34" s="1" t="s">
        <v>56</v>
      </c>
      <c r="S34" s="1"/>
      <c r="T34" s="1"/>
      <c r="U34" s="1"/>
      <c r="V34" s="1" t="s">
        <v>40</v>
      </c>
      <c r="W34" s="1" t="s">
        <v>39</v>
      </c>
      <c r="X34" s="1" t="s">
        <v>40</v>
      </c>
      <c r="Y34">
        <v>2</v>
      </c>
      <c r="Z34" s="1" t="s">
        <v>194</v>
      </c>
      <c r="AA34" s="1"/>
      <c r="AB34" s="1"/>
      <c r="AC34" s="1"/>
    </row>
    <row r="35" spans="1:29" x14ac:dyDescent="0.3">
      <c r="A35" s="1" t="s">
        <v>195</v>
      </c>
      <c r="B35">
        <v>36</v>
      </c>
      <c r="C35" s="1" t="s">
        <v>28</v>
      </c>
      <c r="D35" s="1" t="s">
        <v>29</v>
      </c>
      <c r="E35" s="1" t="s">
        <v>30</v>
      </c>
      <c r="F35" s="1"/>
      <c r="G35" s="1"/>
      <c r="H35" s="1" t="s">
        <v>196</v>
      </c>
      <c r="I35" s="1" t="s">
        <v>197</v>
      </c>
      <c r="J35" s="1" t="s">
        <v>60</v>
      </c>
      <c r="K35" s="1"/>
      <c r="L35" s="1" t="s">
        <v>55</v>
      </c>
      <c r="M35" s="1"/>
      <c r="N35" s="1"/>
      <c r="O35" s="2"/>
      <c r="P35" s="2"/>
      <c r="Q35" s="1"/>
      <c r="R35" s="1"/>
      <c r="S35" s="1"/>
      <c r="T35" s="1"/>
      <c r="U35" s="1"/>
      <c r="V35" s="1" t="s">
        <v>62</v>
      </c>
      <c r="W35" s="1" t="s">
        <v>39</v>
      </c>
      <c r="X35" s="1" t="s">
        <v>40</v>
      </c>
      <c r="Y35">
        <v>1</v>
      </c>
      <c r="Z35" s="1" t="s">
        <v>63</v>
      </c>
      <c r="AA35" s="1"/>
      <c r="AB35" s="1"/>
      <c r="AC35" s="1"/>
    </row>
    <row r="36" spans="1:29" x14ac:dyDescent="0.3">
      <c r="A36" s="1" t="s">
        <v>198</v>
      </c>
      <c r="B36">
        <v>37</v>
      </c>
      <c r="C36" s="1" t="s">
        <v>28</v>
      </c>
      <c r="D36" s="1" t="s">
        <v>29</v>
      </c>
      <c r="E36" s="1" t="s">
        <v>199</v>
      </c>
      <c r="F36" s="1"/>
      <c r="G36" s="1"/>
      <c r="H36" s="1" t="s">
        <v>200</v>
      </c>
      <c r="I36" s="1" t="s">
        <v>201</v>
      </c>
      <c r="J36" s="1" t="s">
        <v>33</v>
      </c>
      <c r="K36" s="1" t="s">
        <v>188</v>
      </c>
      <c r="L36" s="1" t="s">
        <v>35</v>
      </c>
      <c r="M36" s="1"/>
      <c r="N36" s="1"/>
      <c r="O36" s="2"/>
      <c r="P36" s="2"/>
      <c r="Q36" s="1" t="s">
        <v>202</v>
      </c>
      <c r="R36" s="1" t="s">
        <v>202</v>
      </c>
      <c r="S36" s="1" t="s">
        <v>202</v>
      </c>
      <c r="T36" s="1" t="s">
        <v>202</v>
      </c>
      <c r="U36" s="1"/>
      <c r="V36" s="1" t="s">
        <v>62</v>
      </c>
      <c r="W36" s="1" t="s">
        <v>39</v>
      </c>
      <c r="X36" s="1" t="s">
        <v>40</v>
      </c>
      <c r="Y36">
        <v>1</v>
      </c>
      <c r="Z36" s="1" t="s">
        <v>203</v>
      </c>
      <c r="AA36" s="1"/>
      <c r="AB36" s="1"/>
      <c r="AC36" s="1"/>
    </row>
    <row r="37" spans="1:29" x14ac:dyDescent="0.3">
      <c r="A37" s="1" t="s">
        <v>204</v>
      </c>
      <c r="B37">
        <v>38</v>
      </c>
      <c r="C37" s="1" t="s">
        <v>28</v>
      </c>
      <c r="D37" s="1" t="s">
        <v>92</v>
      </c>
      <c r="E37" s="1" t="s">
        <v>30</v>
      </c>
      <c r="F37" s="1"/>
      <c r="G37" s="1"/>
      <c r="H37" s="1" t="s">
        <v>205</v>
      </c>
      <c r="I37" s="1" t="s">
        <v>206</v>
      </c>
      <c r="J37" s="1" t="s">
        <v>61</v>
      </c>
      <c r="K37" s="1"/>
      <c r="L37" s="1" t="s">
        <v>61</v>
      </c>
      <c r="M37" s="1"/>
      <c r="N37" s="1"/>
      <c r="O37" s="2"/>
      <c r="P37" s="2"/>
      <c r="Q37" s="1"/>
      <c r="R37" s="1"/>
      <c r="S37" s="1"/>
      <c r="T37" s="1"/>
      <c r="U37" s="1"/>
      <c r="V37" s="1" t="s">
        <v>62</v>
      </c>
      <c r="W37" s="1" t="s">
        <v>39</v>
      </c>
      <c r="X37" s="1" t="s">
        <v>40</v>
      </c>
      <c r="Y37">
        <v>1</v>
      </c>
      <c r="Z37" s="1" t="s">
        <v>63</v>
      </c>
      <c r="AA37" s="1"/>
      <c r="AB37" s="1"/>
      <c r="AC37" s="1"/>
    </row>
    <row r="38" spans="1:29" x14ac:dyDescent="0.3">
      <c r="A38" s="1" t="s">
        <v>207</v>
      </c>
      <c r="B38">
        <v>39</v>
      </c>
      <c r="C38" s="1" t="s">
        <v>28</v>
      </c>
      <c r="D38" s="1" t="s">
        <v>81</v>
      </c>
      <c r="E38" s="1" t="s">
        <v>82</v>
      </c>
      <c r="F38" s="1"/>
      <c r="G38" s="1"/>
      <c r="H38" s="1" t="s">
        <v>208</v>
      </c>
      <c r="I38" s="1" t="s">
        <v>209</v>
      </c>
      <c r="J38" s="1" t="s">
        <v>210</v>
      </c>
      <c r="K38" s="1" t="s">
        <v>211</v>
      </c>
      <c r="L38" s="1" t="s">
        <v>55</v>
      </c>
      <c r="M38" s="1"/>
      <c r="N38" s="1"/>
      <c r="O38" s="2">
        <v>39048</v>
      </c>
      <c r="P38" s="2"/>
      <c r="Q38" s="1" t="s">
        <v>77</v>
      </c>
      <c r="R38" s="1" t="s">
        <v>56</v>
      </c>
      <c r="S38" s="1"/>
      <c r="T38" s="1" t="s">
        <v>212</v>
      </c>
      <c r="U38" s="1"/>
      <c r="V38" s="1" t="s">
        <v>38</v>
      </c>
      <c r="W38" s="1" t="s">
        <v>39</v>
      </c>
      <c r="X38" s="1" t="s">
        <v>40</v>
      </c>
      <c r="Y38">
        <v>2</v>
      </c>
      <c r="Z38" s="1" t="s">
        <v>213</v>
      </c>
      <c r="AA38" s="1"/>
      <c r="AB38" s="1"/>
      <c r="AC38" s="1"/>
    </row>
    <row r="39" spans="1:29" x14ac:dyDescent="0.3">
      <c r="A39" s="1" t="s">
        <v>214</v>
      </c>
      <c r="B39">
        <v>40</v>
      </c>
      <c r="C39" s="1" t="s">
        <v>28</v>
      </c>
      <c r="D39" s="1" t="s">
        <v>65</v>
      </c>
      <c r="E39" s="1" t="s">
        <v>30</v>
      </c>
      <c r="F39" s="1"/>
      <c r="G39" s="1"/>
      <c r="H39" s="1" t="s">
        <v>215</v>
      </c>
      <c r="I39" s="1" t="s">
        <v>216</v>
      </c>
      <c r="J39" s="1" t="s">
        <v>158</v>
      </c>
      <c r="K39" s="1" t="s">
        <v>159</v>
      </c>
      <c r="L39" s="1" t="s">
        <v>55</v>
      </c>
      <c r="M39" s="1"/>
      <c r="N39" s="1"/>
      <c r="O39" s="2">
        <v>45292</v>
      </c>
      <c r="P39" s="2">
        <v>47118</v>
      </c>
      <c r="Q39" s="1" t="s">
        <v>77</v>
      </c>
      <c r="R39" s="1" t="s">
        <v>56</v>
      </c>
      <c r="S39" s="1"/>
      <c r="T39" s="1"/>
      <c r="U39" s="1"/>
      <c r="V39" s="1" t="s">
        <v>39</v>
      </c>
      <c r="W39" s="1" t="s">
        <v>39</v>
      </c>
      <c r="X39" s="1" t="s">
        <v>48</v>
      </c>
      <c r="Y39">
        <v>0</v>
      </c>
      <c r="Z39" s="1"/>
      <c r="AA39" s="1"/>
      <c r="AB39" s="1"/>
      <c r="AC39" s="1"/>
    </row>
    <row r="40" spans="1:29" x14ac:dyDescent="0.3">
      <c r="A40" s="1" t="s">
        <v>217</v>
      </c>
      <c r="B40">
        <v>41</v>
      </c>
      <c r="C40" s="1" t="s">
        <v>28</v>
      </c>
      <c r="D40" s="1" t="s">
        <v>29</v>
      </c>
      <c r="E40" s="1" t="s">
        <v>199</v>
      </c>
      <c r="F40" s="1"/>
      <c r="G40" s="1"/>
      <c r="H40" s="1" t="s">
        <v>218</v>
      </c>
      <c r="I40" s="1" t="s">
        <v>219</v>
      </c>
      <c r="J40" s="1" t="s">
        <v>33</v>
      </c>
      <c r="K40" s="1" t="s">
        <v>188</v>
      </c>
      <c r="L40" s="1" t="s">
        <v>35</v>
      </c>
      <c r="M40" s="1"/>
      <c r="N40" s="1"/>
      <c r="O40" s="2"/>
      <c r="P40" s="2"/>
      <c r="Q40" s="1" t="s">
        <v>202</v>
      </c>
      <c r="R40" s="1" t="s">
        <v>202</v>
      </c>
      <c r="S40" s="1" t="s">
        <v>202</v>
      </c>
      <c r="T40" s="1" t="s">
        <v>202</v>
      </c>
      <c r="U40" s="1"/>
      <c r="V40" s="1" t="s">
        <v>62</v>
      </c>
      <c r="W40" s="1" t="s">
        <v>39</v>
      </c>
      <c r="X40" s="1" t="s">
        <v>40</v>
      </c>
      <c r="Y40">
        <v>1</v>
      </c>
      <c r="Z40" s="1" t="s">
        <v>220</v>
      </c>
      <c r="AA40" s="1"/>
      <c r="AB40" s="1"/>
      <c r="AC40" s="1"/>
    </row>
    <row r="41" spans="1:29" x14ac:dyDescent="0.3">
      <c r="A41" s="1" t="s">
        <v>221</v>
      </c>
      <c r="B41">
        <v>42</v>
      </c>
      <c r="C41" s="1" t="s">
        <v>28</v>
      </c>
      <c r="D41" s="1" t="s">
        <v>29</v>
      </c>
      <c r="E41" s="1" t="s">
        <v>30</v>
      </c>
      <c r="F41" s="1"/>
      <c r="G41" s="1"/>
      <c r="H41" s="1" t="s">
        <v>222</v>
      </c>
      <c r="I41" s="1" t="s">
        <v>223</v>
      </c>
      <c r="J41" s="1" t="s">
        <v>33</v>
      </c>
      <c r="K41" s="1" t="s">
        <v>224</v>
      </c>
      <c r="L41" s="1" t="s">
        <v>35</v>
      </c>
      <c r="M41" s="1"/>
      <c r="N41" s="1"/>
      <c r="O41" s="2">
        <v>45992</v>
      </c>
      <c r="P41" s="2"/>
      <c r="Q41" s="1" t="s">
        <v>193</v>
      </c>
      <c r="R41" s="1" t="s">
        <v>56</v>
      </c>
      <c r="S41" s="1"/>
      <c r="T41" s="1"/>
      <c r="U41" s="1" t="s">
        <v>225</v>
      </c>
      <c r="V41" s="1" t="s">
        <v>40</v>
      </c>
      <c r="W41" s="1" t="s">
        <v>39</v>
      </c>
      <c r="X41" s="1" t="s">
        <v>40</v>
      </c>
      <c r="Y41">
        <v>2</v>
      </c>
      <c r="Z41" s="1" t="s">
        <v>73</v>
      </c>
      <c r="AA41" s="1"/>
      <c r="AB41" s="1"/>
      <c r="AC41" s="1"/>
    </row>
    <row r="42" spans="1:29" x14ac:dyDescent="0.3">
      <c r="A42" s="1" t="s">
        <v>226</v>
      </c>
      <c r="B42">
        <v>43</v>
      </c>
      <c r="C42" s="1" t="s">
        <v>28</v>
      </c>
      <c r="D42" s="1" t="s">
        <v>81</v>
      </c>
      <c r="E42" s="1" t="s">
        <v>30</v>
      </c>
      <c r="F42" s="1"/>
      <c r="G42" s="1"/>
      <c r="H42" s="1" t="s">
        <v>227</v>
      </c>
      <c r="I42" s="1" t="s">
        <v>228</v>
      </c>
      <c r="J42" s="1" t="s">
        <v>229</v>
      </c>
      <c r="K42" s="1" t="s">
        <v>230</v>
      </c>
      <c r="L42" s="1" t="s">
        <v>55</v>
      </c>
      <c r="M42" s="1"/>
      <c r="N42" s="1"/>
      <c r="O42" s="2"/>
      <c r="P42" s="2"/>
      <c r="Q42" s="1" t="s">
        <v>46</v>
      </c>
      <c r="R42" s="1" t="s">
        <v>46</v>
      </c>
      <c r="S42" s="1" t="s">
        <v>46</v>
      </c>
      <c r="T42" s="1" t="s">
        <v>46</v>
      </c>
      <c r="U42" s="1"/>
      <c r="V42" s="1" t="s">
        <v>47</v>
      </c>
      <c r="W42" s="1" t="s">
        <v>39</v>
      </c>
      <c r="X42" s="1" t="s">
        <v>48</v>
      </c>
      <c r="Y42">
        <v>0</v>
      </c>
      <c r="Z42" s="1"/>
      <c r="AA42" s="1"/>
      <c r="AB42" s="1"/>
      <c r="AC42" s="1"/>
    </row>
    <row r="43" spans="1:29" x14ac:dyDescent="0.3">
      <c r="A43" s="1" t="s">
        <v>231</v>
      </c>
      <c r="B43">
        <v>44</v>
      </c>
      <c r="C43" s="1" t="s">
        <v>28</v>
      </c>
      <c r="D43" s="1" t="s">
        <v>29</v>
      </c>
      <c r="E43" s="1" t="s">
        <v>30</v>
      </c>
      <c r="F43" s="1"/>
      <c r="G43" s="1"/>
      <c r="H43" s="1" t="s">
        <v>232</v>
      </c>
      <c r="I43" s="1" t="s">
        <v>233</v>
      </c>
      <c r="J43" s="1" t="s">
        <v>33</v>
      </c>
      <c r="K43" s="1" t="s">
        <v>224</v>
      </c>
      <c r="L43" s="1" t="s">
        <v>35</v>
      </c>
      <c r="M43" s="1"/>
      <c r="N43" s="1"/>
      <c r="O43" s="2">
        <v>45992</v>
      </c>
      <c r="P43" s="2"/>
      <c r="Q43" s="1" t="s">
        <v>193</v>
      </c>
      <c r="R43" s="1" t="s">
        <v>56</v>
      </c>
      <c r="S43" s="1"/>
      <c r="T43" s="1"/>
      <c r="U43" s="1" t="s">
        <v>225</v>
      </c>
      <c r="V43" s="1" t="s">
        <v>40</v>
      </c>
      <c r="W43" s="1" t="s">
        <v>39</v>
      </c>
      <c r="X43" s="1" t="s">
        <v>40</v>
      </c>
      <c r="Y43">
        <v>2</v>
      </c>
      <c r="Z43" s="1" t="s">
        <v>73</v>
      </c>
      <c r="AA43" s="1"/>
      <c r="AB43" s="1"/>
      <c r="AC43" s="1"/>
    </row>
    <row r="44" spans="1:29" x14ac:dyDescent="0.3">
      <c r="A44" s="1" t="s">
        <v>234</v>
      </c>
      <c r="B44">
        <v>45</v>
      </c>
      <c r="C44" s="1" t="s">
        <v>28</v>
      </c>
      <c r="D44" s="1" t="s">
        <v>92</v>
      </c>
      <c r="E44" s="1" t="s">
        <v>30</v>
      </c>
      <c r="F44" s="1"/>
      <c r="G44" s="1"/>
      <c r="H44" s="1" t="s">
        <v>235</v>
      </c>
      <c r="I44" s="1" t="s">
        <v>236</v>
      </c>
      <c r="J44" s="1" t="s">
        <v>55</v>
      </c>
      <c r="K44" s="1"/>
      <c r="L44" s="1" t="s">
        <v>55</v>
      </c>
      <c r="M44" s="1"/>
      <c r="N44" s="1"/>
      <c r="O44" s="2">
        <v>45999</v>
      </c>
      <c r="P44" s="2">
        <v>47094</v>
      </c>
      <c r="Q44" s="1" t="s">
        <v>36</v>
      </c>
      <c r="R44" s="1" t="s">
        <v>37</v>
      </c>
      <c r="S44" s="1"/>
      <c r="T44" s="1"/>
      <c r="U44" s="1"/>
      <c r="V44" s="1" t="s">
        <v>38</v>
      </c>
      <c r="W44" s="1" t="s">
        <v>39</v>
      </c>
      <c r="X44" s="1" t="s">
        <v>40</v>
      </c>
      <c r="Y44">
        <v>1</v>
      </c>
      <c r="Z44" s="1" t="s">
        <v>108</v>
      </c>
      <c r="AA44" s="1"/>
      <c r="AB44" s="1"/>
      <c r="AC44" s="1"/>
    </row>
    <row r="45" spans="1:29" x14ac:dyDescent="0.3">
      <c r="A45" s="1" t="s">
        <v>237</v>
      </c>
      <c r="B45">
        <v>46</v>
      </c>
      <c r="C45" s="1" t="s">
        <v>28</v>
      </c>
      <c r="D45" s="1" t="s">
        <v>29</v>
      </c>
      <c r="E45" s="1" t="s">
        <v>30</v>
      </c>
      <c r="F45" s="1"/>
      <c r="G45" s="1"/>
      <c r="H45" s="1" t="s">
        <v>238</v>
      </c>
      <c r="I45" s="1" t="s">
        <v>239</v>
      </c>
      <c r="J45" s="1" t="s">
        <v>60</v>
      </c>
      <c r="K45" s="1"/>
      <c r="L45" s="1" t="s">
        <v>55</v>
      </c>
      <c r="M45" s="1"/>
      <c r="N45" s="1"/>
      <c r="O45" s="2">
        <v>46319</v>
      </c>
      <c r="P45" s="2"/>
      <c r="Q45" s="1" t="s">
        <v>193</v>
      </c>
      <c r="R45" s="1" t="s">
        <v>212</v>
      </c>
      <c r="S45" s="1"/>
      <c r="T45" s="1" t="s">
        <v>78</v>
      </c>
      <c r="U45" s="1"/>
      <c r="V45" s="1" t="s">
        <v>40</v>
      </c>
      <c r="W45" s="1" t="s">
        <v>39</v>
      </c>
      <c r="X45" s="1" t="s">
        <v>40</v>
      </c>
      <c r="Y45">
        <v>2</v>
      </c>
      <c r="Z45" s="1" t="s">
        <v>240</v>
      </c>
      <c r="AA45" s="1"/>
      <c r="AB45" s="1"/>
      <c r="AC45" s="1"/>
    </row>
    <row r="46" spans="1:29" x14ac:dyDescent="0.3">
      <c r="A46" s="1" t="s">
        <v>241</v>
      </c>
      <c r="B46">
        <v>47</v>
      </c>
      <c r="C46" s="1" t="s">
        <v>28</v>
      </c>
      <c r="D46" s="1" t="s">
        <v>103</v>
      </c>
      <c r="E46" s="1" t="s">
        <v>30</v>
      </c>
      <c r="F46" s="1"/>
      <c r="G46" s="1"/>
      <c r="H46" s="1" t="s">
        <v>242</v>
      </c>
      <c r="I46" s="1" t="s">
        <v>243</v>
      </c>
      <c r="J46" s="1" t="s">
        <v>244</v>
      </c>
      <c r="K46" s="1"/>
      <c r="L46" s="1" t="s">
        <v>61</v>
      </c>
      <c r="M46" s="1"/>
      <c r="N46" s="1"/>
      <c r="O46" s="2"/>
      <c r="P46" s="2"/>
      <c r="Q46" s="1"/>
      <c r="R46" s="1"/>
      <c r="S46" s="1"/>
      <c r="T46" s="1"/>
      <c r="U46" s="1"/>
      <c r="V46" s="1" t="s">
        <v>62</v>
      </c>
      <c r="W46" s="1" t="s">
        <v>39</v>
      </c>
      <c r="X46" s="1" t="s">
        <v>40</v>
      </c>
      <c r="Y46">
        <v>1</v>
      </c>
      <c r="Z46" s="1" t="s">
        <v>63</v>
      </c>
      <c r="AA46" s="1"/>
      <c r="AB46" s="1"/>
      <c r="AC46" s="1"/>
    </row>
    <row r="47" spans="1:29" x14ac:dyDescent="0.3">
      <c r="A47" s="1" t="s">
        <v>245</v>
      </c>
      <c r="B47">
        <v>48</v>
      </c>
      <c r="C47" s="1" t="s">
        <v>28</v>
      </c>
      <c r="D47" s="1" t="s">
        <v>65</v>
      </c>
      <c r="E47" s="1" t="s">
        <v>30</v>
      </c>
      <c r="F47" s="1"/>
      <c r="G47" s="1"/>
      <c r="H47" s="1" t="s">
        <v>246</v>
      </c>
      <c r="I47" s="1" t="s">
        <v>247</v>
      </c>
      <c r="J47" s="1" t="s">
        <v>248</v>
      </c>
      <c r="K47" s="1" t="s">
        <v>249</v>
      </c>
      <c r="L47" s="1" t="s">
        <v>61</v>
      </c>
      <c r="M47" s="1"/>
      <c r="N47" s="1"/>
      <c r="O47" s="2"/>
      <c r="P47" s="2"/>
      <c r="Q47" s="1"/>
      <c r="R47" s="1"/>
      <c r="S47" s="1"/>
      <c r="T47" s="1"/>
      <c r="U47" s="1"/>
      <c r="V47" s="1" t="s">
        <v>62</v>
      </c>
      <c r="W47" s="1" t="s">
        <v>39</v>
      </c>
      <c r="X47" s="1" t="s">
        <v>40</v>
      </c>
      <c r="Y47">
        <v>1</v>
      </c>
      <c r="Z47" s="1" t="s">
        <v>114</v>
      </c>
      <c r="AA47" s="1"/>
      <c r="AB47" s="1"/>
      <c r="AC47" s="1"/>
    </row>
    <row r="48" spans="1:29" x14ac:dyDescent="0.3">
      <c r="A48" s="1" t="s">
        <v>250</v>
      </c>
      <c r="B48">
        <v>49</v>
      </c>
      <c r="C48" s="1" t="s">
        <v>28</v>
      </c>
      <c r="D48" s="1" t="s">
        <v>92</v>
      </c>
      <c r="E48" s="1" t="s">
        <v>30</v>
      </c>
      <c r="F48" s="1"/>
      <c r="G48" s="1"/>
      <c r="H48" s="1" t="s">
        <v>251</v>
      </c>
      <c r="I48" s="1" t="s">
        <v>252</v>
      </c>
      <c r="J48" s="1" t="s">
        <v>35</v>
      </c>
      <c r="K48" s="1"/>
      <c r="L48" s="1" t="s">
        <v>35</v>
      </c>
      <c r="M48" s="1"/>
      <c r="N48" s="1"/>
      <c r="O48" s="2">
        <v>44317</v>
      </c>
      <c r="P48" s="2">
        <v>45412</v>
      </c>
      <c r="Q48" s="1" t="s">
        <v>77</v>
      </c>
      <c r="R48" s="1" t="s">
        <v>56</v>
      </c>
      <c r="S48" s="1"/>
      <c r="T48" s="1"/>
      <c r="U48" s="1"/>
      <c r="V48" s="1" t="s">
        <v>39</v>
      </c>
      <c r="W48" s="1" t="s">
        <v>39</v>
      </c>
      <c r="X48" s="1" t="s">
        <v>48</v>
      </c>
      <c r="Y48">
        <v>0</v>
      </c>
      <c r="Z48" s="1" t="s">
        <v>79</v>
      </c>
      <c r="AA48" s="1"/>
      <c r="AB48" s="1"/>
      <c r="AC48" s="1"/>
    </row>
    <row r="49" spans="1:29" x14ac:dyDescent="0.3">
      <c r="A49" s="1" t="s">
        <v>253</v>
      </c>
      <c r="B49">
        <v>50</v>
      </c>
      <c r="C49" s="1" t="s">
        <v>28</v>
      </c>
      <c r="D49" s="1" t="s">
        <v>29</v>
      </c>
      <c r="E49" s="1" t="s">
        <v>30</v>
      </c>
      <c r="F49" s="1"/>
      <c r="G49" s="1"/>
      <c r="H49" s="1" t="s">
        <v>254</v>
      </c>
      <c r="I49" s="1" t="s">
        <v>255</v>
      </c>
      <c r="J49" s="1" t="s">
        <v>90</v>
      </c>
      <c r="K49" s="1" t="s">
        <v>192</v>
      </c>
      <c r="L49" s="1" t="s">
        <v>55</v>
      </c>
      <c r="M49" s="1"/>
      <c r="N49" s="1"/>
      <c r="O49" s="2"/>
      <c r="P49" s="2"/>
      <c r="Q49" s="1" t="s">
        <v>46</v>
      </c>
      <c r="R49" s="1" t="s">
        <v>46</v>
      </c>
      <c r="S49" s="1" t="s">
        <v>46</v>
      </c>
      <c r="T49" s="1" t="s">
        <v>46</v>
      </c>
      <c r="U49" s="1"/>
      <c r="V49" s="1" t="s">
        <v>47</v>
      </c>
      <c r="W49" s="1" t="s">
        <v>39</v>
      </c>
      <c r="X49" s="1" t="s">
        <v>48</v>
      </c>
      <c r="Y49">
        <v>0</v>
      </c>
      <c r="Z49" s="1"/>
      <c r="AA49" s="1"/>
      <c r="AB49" s="1"/>
      <c r="AC49" s="1"/>
    </row>
    <row r="50" spans="1:29" x14ac:dyDescent="0.3">
      <c r="A50" s="1" t="s">
        <v>256</v>
      </c>
      <c r="B50">
        <v>51</v>
      </c>
      <c r="C50" s="1" t="s">
        <v>28</v>
      </c>
      <c r="D50" s="1" t="s">
        <v>65</v>
      </c>
      <c r="E50" s="1" t="s">
        <v>30</v>
      </c>
      <c r="F50" s="1"/>
      <c r="G50" s="1"/>
      <c r="H50" s="1" t="s">
        <v>257</v>
      </c>
      <c r="I50" s="1" t="s">
        <v>258</v>
      </c>
      <c r="J50" s="1" t="s">
        <v>259</v>
      </c>
      <c r="K50" s="1" t="s">
        <v>259</v>
      </c>
      <c r="L50" s="1" t="s">
        <v>61</v>
      </c>
      <c r="M50" s="1"/>
      <c r="N50" s="1"/>
      <c r="O50" s="2"/>
      <c r="P50" s="2"/>
      <c r="Q50" s="1"/>
      <c r="R50" s="1"/>
      <c r="S50" s="1"/>
      <c r="T50" s="1"/>
      <c r="U50" s="1"/>
      <c r="V50" s="1" t="s">
        <v>62</v>
      </c>
      <c r="W50" s="1" t="s">
        <v>39</v>
      </c>
      <c r="X50" s="1" t="s">
        <v>40</v>
      </c>
      <c r="Y50">
        <v>1</v>
      </c>
      <c r="Z50" s="1" t="s">
        <v>114</v>
      </c>
      <c r="AA50" s="1"/>
      <c r="AB50" s="1"/>
      <c r="AC50" s="1"/>
    </row>
    <row r="51" spans="1:29" x14ac:dyDescent="0.3">
      <c r="A51" s="1" t="s">
        <v>260</v>
      </c>
      <c r="B51">
        <v>52</v>
      </c>
      <c r="C51" s="1" t="s">
        <v>28</v>
      </c>
      <c r="D51" s="1" t="s">
        <v>81</v>
      </c>
      <c r="E51" s="1" t="s">
        <v>30</v>
      </c>
      <c r="F51" s="1"/>
      <c r="G51" s="1"/>
      <c r="H51" s="1" t="s">
        <v>261</v>
      </c>
      <c r="I51" s="1" t="s">
        <v>262</v>
      </c>
      <c r="J51" s="1" t="s">
        <v>263</v>
      </c>
      <c r="K51" s="1"/>
      <c r="L51" s="1" t="s">
        <v>55</v>
      </c>
      <c r="M51" s="1"/>
      <c r="N51" s="1"/>
      <c r="O51" s="2"/>
      <c r="P51" s="2"/>
      <c r="Q51" s="1" t="s">
        <v>46</v>
      </c>
      <c r="R51" s="1" t="s">
        <v>46</v>
      </c>
      <c r="S51" s="1" t="s">
        <v>46</v>
      </c>
      <c r="T51" s="1" t="s">
        <v>46</v>
      </c>
      <c r="U51" s="1"/>
      <c r="V51" s="1" t="s">
        <v>47</v>
      </c>
      <c r="W51" s="1" t="s">
        <v>39</v>
      </c>
      <c r="X51" s="1" t="s">
        <v>48</v>
      </c>
      <c r="Y51">
        <v>0</v>
      </c>
      <c r="Z51" s="1" t="s">
        <v>79</v>
      </c>
      <c r="AA51" s="1"/>
      <c r="AB51" s="1"/>
      <c r="AC51" s="1"/>
    </row>
    <row r="52" spans="1:29" x14ac:dyDescent="0.3">
      <c r="A52" s="1" t="s">
        <v>264</v>
      </c>
      <c r="B52">
        <v>53</v>
      </c>
      <c r="C52" s="1" t="s">
        <v>28</v>
      </c>
      <c r="D52" s="1" t="s">
        <v>81</v>
      </c>
      <c r="E52" s="1" t="s">
        <v>30</v>
      </c>
      <c r="F52" s="1"/>
      <c r="G52" s="1"/>
      <c r="H52" s="1" t="s">
        <v>265</v>
      </c>
      <c r="I52" s="1" t="s">
        <v>266</v>
      </c>
      <c r="J52" s="1" t="s">
        <v>263</v>
      </c>
      <c r="K52" s="1"/>
      <c r="L52" s="1" t="s">
        <v>55</v>
      </c>
      <c r="M52" s="1"/>
      <c r="N52" s="1"/>
      <c r="O52" s="2"/>
      <c r="P52" s="2"/>
      <c r="Q52" s="1" t="s">
        <v>46</v>
      </c>
      <c r="R52" s="1" t="s">
        <v>46</v>
      </c>
      <c r="S52" s="1" t="s">
        <v>46</v>
      </c>
      <c r="T52" s="1" t="s">
        <v>46</v>
      </c>
      <c r="U52" s="1"/>
      <c r="V52" s="1" t="s">
        <v>47</v>
      </c>
      <c r="W52" s="1" t="s">
        <v>39</v>
      </c>
      <c r="X52" s="1" t="s">
        <v>48</v>
      </c>
      <c r="Y52">
        <v>0</v>
      </c>
      <c r="Z52" s="1" t="s">
        <v>79</v>
      </c>
      <c r="AA52" s="1"/>
      <c r="AB52" s="1"/>
      <c r="AC52" s="1"/>
    </row>
    <row r="53" spans="1:29" x14ac:dyDescent="0.3">
      <c r="A53" s="1" t="s">
        <v>267</v>
      </c>
      <c r="B53">
        <v>54</v>
      </c>
      <c r="C53" s="1" t="s">
        <v>28</v>
      </c>
      <c r="D53" s="1" t="s">
        <v>29</v>
      </c>
      <c r="E53" s="1" t="s">
        <v>30</v>
      </c>
      <c r="F53" s="1"/>
      <c r="G53" s="1"/>
      <c r="H53" s="1" t="s">
        <v>268</v>
      </c>
      <c r="I53" s="1" t="s">
        <v>269</v>
      </c>
      <c r="J53" s="1" t="s">
        <v>33</v>
      </c>
      <c r="K53" s="1" t="s">
        <v>142</v>
      </c>
      <c r="L53" s="1"/>
      <c r="M53" s="1"/>
      <c r="N53" s="1"/>
      <c r="O53" s="2"/>
      <c r="P53" s="2"/>
      <c r="Q53" s="1" t="s">
        <v>46</v>
      </c>
      <c r="R53" s="1" t="s">
        <v>46</v>
      </c>
      <c r="S53" s="1" t="s">
        <v>46</v>
      </c>
      <c r="T53" s="1" t="s">
        <v>46</v>
      </c>
      <c r="U53" s="1"/>
      <c r="V53" s="1" t="s">
        <v>47</v>
      </c>
      <c r="W53" s="1" t="s">
        <v>270</v>
      </c>
      <c r="X53" s="1" t="s">
        <v>40</v>
      </c>
      <c r="Y53">
        <v>1</v>
      </c>
      <c r="Z53" s="1" t="s">
        <v>271</v>
      </c>
      <c r="AA53" s="1"/>
      <c r="AB53" s="1"/>
      <c r="AC53" s="1"/>
    </row>
    <row r="54" spans="1:29" x14ac:dyDescent="0.3">
      <c r="A54" s="1" t="s">
        <v>272</v>
      </c>
      <c r="B54">
        <v>55</v>
      </c>
      <c r="C54" s="1" t="s">
        <v>28</v>
      </c>
      <c r="D54" s="1" t="s">
        <v>29</v>
      </c>
      <c r="E54" s="1" t="s">
        <v>82</v>
      </c>
      <c r="F54" s="1"/>
      <c r="G54" s="1"/>
      <c r="H54" s="1" t="s">
        <v>273</v>
      </c>
      <c r="I54" s="1" t="s">
        <v>274</v>
      </c>
      <c r="J54" s="1" t="s">
        <v>33</v>
      </c>
      <c r="K54" s="1" t="s">
        <v>275</v>
      </c>
      <c r="L54" s="1" t="s">
        <v>35</v>
      </c>
      <c r="M54" s="1"/>
      <c r="N54" s="1"/>
      <c r="O54" s="2"/>
      <c r="P54" s="2">
        <v>45731</v>
      </c>
      <c r="Q54" s="1" t="s">
        <v>77</v>
      </c>
      <c r="R54" s="1" t="s">
        <v>71</v>
      </c>
      <c r="S54" s="1"/>
      <c r="T54" s="1"/>
      <c r="U54" s="1"/>
      <c r="V54" s="1" t="s">
        <v>38</v>
      </c>
      <c r="W54" s="1" t="s">
        <v>39</v>
      </c>
      <c r="X54" s="1" t="s">
        <v>40</v>
      </c>
      <c r="Y54">
        <v>2</v>
      </c>
      <c r="Z54" s="1" t="s">
        <v>276</v>
      </c>
      <c r="AA54" s="1"/>
      <c r="AB54" s="1"/>
      <c r="AC54" s="1"/>
    </row>
    <row r="55" spans="1:29" x14ac:dyDescent="0.3">
      <c r="A55" s="1" t="s">
        <v>277</v>
      </c>
      <c r="B55">
        <v>56</v>
      </c>
      <c r="C55" s="1" t="s">
        <v>28</v>
      </c>
      <c r="D55" s="1" t="s">
        <v>29</v>
      </c>
      <c r="E55" s="1" t="s">
        <v>104</v>
      </c>
      <c r="F55" s="1"/>
      <c r="G55" s="1"/>
      <c r="H55" s="1" t="s">
        <v>278</v>
      </c>
      <c r="I55" s="1" t="s">
        <v>279</v>
      </c>
      <c r="J55" s="1" t="s">
        <v>33</v>
      </c>
      <c r="K55" s="1" t="s">
        <v>280</v>
      </c>
      <c r="L55" s="1" t="s">
        <v>35</v>
      </c>
      <c r="M55" s="1"/>
      <c r="N55" s="1"/>
      <c r="O55" s="2"/>
      <c r="P55" s="2"/>
      <c r="Q55" s="1" t="s">
        <v>46</v>
      </c>
      <c r="R55" s="1" t="s">
        <v>46</v>
      </c>
      <c r="S55" s="1" t="s">
        <v>46</v>
      </c>
      <c r="T55" s="1" t="s">
        <v>46</v>
      </c>
      <c r="U55" s="1"/>
      <c r="V55" s="1" t="s">
        <v>47</v>
      </c>
      <c r="W55" s="1" t="s">
        <v>39</v>
      </c>
      <c r="X55" s="1" t="s">
        <v>48</v>
      </c>
      <c r="Y55">
        <v>0</v>
      </c>
      <c r="Z55" s="1"/>
      <c r="AA55" s="1"/>
      <c r="AB55" s="1"/>
      <c r="AC55" s="1"/>
    </row>
    <row r="56" spans="1:29" x14ac:dyDescent="0.3">
      <c r="A56" s="1" t="s">
        <v>281</v>
      </c>
      <c r="B56">
        <v>57</v>
      </c>
      <c r="C56" s="1" t="s">
        <v>28</v>
      </c>
      <c r="D56" s="1" t="s">
        <v>81</v>
      </c>
      <c r="E56" s="1" t="s">
        <v>30</v>
      </c>
      <c r="F56" s="1"/>
      <c r="G56" s="1"/>
      <c r="H56" s="1" t="s">
        <v>282</v>
      </c>
      <c r="I56" s="1" t="s">
        <v>283</v>
      </c>
      <c r="J56" s="1" t="s">
        <v>284</v>
      </c>
      <c r="K56" s="1"/>
      <c r="L56" s="1" t="s">
        <v>61</v>
      </c>
      <c r="M56" s="1"/>
      <c r="N56" s="1"/>
      <c r="O56" s="2"/>
      <c r="P56" s="2"/>
      <c r="Q56" s="1"/>
      <c r="R56" s="1"/>
      <c r="S56" s="1"/>
      <c r="T56" s="1"/>
      <c r="U56" s="1"/>
      <c r="V56" s="1" t="s">
        <v>62</v>
      </c>
      <c r="W56" s="1" t="s">
        <v>39</v>
      </c>
      <c r="X56" s="1" t="s">
        <v>40</v>
      </c>
      <c r="Y56">
        <v>1</v>
      </c>
      <c r="Z56" s="1" t="s">
        <v>63</v>
      </c>
      <c r="AA56" s="1"/>
      <c r="AB56" s="1"/>
      <c r="AC56" s="1"/>
    </row>
    <row r="57" spans="1:29" x14ac:dyDescent="0.3">
      <c r="A57" s="1" t="s">
        <v>285</v>
      </c>
      <c r="B57">
        <v>58</v>
      </c>
      <c r="C57" s="1" t="s">
        <v>28</v>
      </c>
      <c r="D57" s="1" t="s">
        <v>81</v>
      </c>
      <c r="E57" s="1" t="s">
        <v>30</v>
      </c>
      <c r="F57" s="1"/>
      <c r="G57" s="1"/>
      <c r="H57" s="1" t="s">
        <v>286</v>
      </c>
      <c r="I57" s="1" t="s">
        <v>287</v>
      </c>
      <c r="J57" s="1" t="s">
        <v>284</v>
      </c>
      <c r="K57" s="1"/>
      <c r="L57" s="1" t="s">
        <v>61</v>
      </c>
      <c r="M57" s="1"/>
      <c r="N57" s="1"/>
      <c r="O57" s="2"/>
      <c r="P57" s="2"/>
      <c r="Q57" s="1"/>
      <c r="R57" s="1"/>
      <c r="S57" s="1"/>
      <c r="T57" s="1"/>
      <c r="U57" s="1"/>
      <c r="V57" s="1" t="s">
        <v>62</v>
      </c>
      <c r="W57" s="1" t="s">
        <v>39</v>
      </c>
      <c r="X57" s="1" t="s">
        <v>40</v>
      </c>
      <c r="Y57">
        <v>1</v>
      </c>
      <c r="Z57" s="1" t="s">
        <v>63</v>
      </c>
      <c r="AA57" s="1"/>
      <c r="AB57" s="1"/>
      <c r="AC57" s="1"/>
    </row>
    <row r="58" spans="1:29" x14ac:dyDescent="0.3">
      <c r="A58" s="1" t="s">
        <v>288</v>
      </c>
      <c r="B58">
        <v>59</v>
      </c>
      <c r="C58" s="1" t="s">
        <v>28</v>
      </c>
      <c r="D58" s="1" t="s">
        <v>81</v>
      </c>
      <c r="E58" s="1" t="s">
        <v>30</v>
      </c>
      <c r="F58" s="1"/>
      <c r="G58" s="1"/>
      <c r="H58" s="1" t="s">
        <v>289</v>
      </c>
      <c r="I58" s="1" t="s">
        <v>290</v>
      </c>
      <c r="J58" s="1" t="s">
        <v>284</v>
      </c>
      <c r="K58" s="1"/>
      <c r="L58" s="1" t="s">
        <v>61</v>
      </c>
      <c r="M58" s="1"/>
      <c r="N58" s="1"/>
      <c r="O58" s="2"/>
      <c r="P58" s="2"/>
      <c r="Q58" s="1"/>
      <c r="R58" s="1"/>
      <c r="S58" s="1"/>
      <c r="T58" s="1"/>
      <c r="U58" s="1"/>
      <c r="V58" s="1" t="s">
        <v>62</v>
      </c>
      <c r="W58" s="1" t="s">
        <v>39</v>
      </c>
      <c r="X58" s="1" t="s">
        <v>40</v>
      </c>
      <c r="Y58">
        <v>1</v>
      </c>
      <c r="Z58" s="1" t="s">
        <v>63</v>
      </c>
      <c r="AA58" s="1"/>
      <c r="AB58" s="1"/>
      <c r="AC58" s="1"/>
    </row>
    <row r="59" spans="1:29" x14ac:dyDescent="0.3">
      <c r="A59" s="1" t="s">
        <v>291</v>
      </c>
      <c r="B59">
        <v>60</v>
      </c>
      <c r="C59" s="1" t="s">
        <v>28</v>
      </c>
      <c r="D59" s="1" t="s">
        <v>81</v>
      </c>
      <c r="E59" s="1" t="s">
        <v>30</v>
      </c>
      <c r="F59" s="1"/>
      <c r="G59" s="1"/>
      <c r="H59" s="1" t="s">
        <v>292</v>
      </c>
      <c r="I59" s="1" t="s">
        <v>293</v>
      </c>
      <c r="J59" s="1" t="s">
        <v>284</v>
      </c>
      <c r="K59" s="1"/>
      <c r="L59" s="1" t="s">
        <v>61</v>
      </c>
      <c r="M59" s="1"/>
      <c r="N59" s="1"/>
      <c r="O59" s="2"/>
      <c r="P59" s="2"/>
      <c r="Q59" s="1"/>
      <c r="R59" s="1"/>
      <c r="S59" s="1"/>
      <c r="T59" s="1"/>
      <c r="U59" s="1"/>
      <c r="V59" s="1" t="s">
        <v>62</v>
      </c>
      <c r="W59" s="1" t="s">
        <v>39</v>
      </c>
      <c r="X59" s="1" t="s">
        <v>40</v>
      </c>
      <c r="Y59">
        <v>1</v>
      </c>
      <c r="Z59" s="1" t="s">
        <v>63</v>
      </c>
      <c r="AA59" s="1"/>
      <c r="AB59" s="1"/>
      <c r="AC59" s="1"/>
    </row>
    <row r="60" spans="1:29" x14ac:dyDescent="0.3">
      <c r="A60" s="1" t="s">
        <v>294</v>
      </c>
      <c r="B60">
        <v>61</v>
      </c>
      <c r="C60" s="1" t="s">
        <v>28</v>
      </c>
      <c r="D60" s="1" t="s">
        <v>81</v>
      </c>
      <c r="E60" s="1" t="s">
        <v>30</v>
      </c>
      <c r="F60" s="1"/>
      <c r="G60" s="1"/>
      <c r="H60" s="1" t="s">
        <v>295</v>
      </c>
      <c r="I60" s="1" t="s">
        <v>296</v>
      </c>
      <c r="J60" s="1" t="s">
        <v>284</v>
      </c>
      <c r="K60" s="1"/>
      <c r="L60" s="1" t="s">
        <v>61</v>
      </c>
      <c r="M60" s="1"/>
      <c r="N60" s="1"/>
      <c r="O60" s="2"/>
      <c r="P60" s="2"/>
      <c r="Q60" s="1"/>
      <c r="R60" s="1"/>
      <c r="S60" s="1"/>
      <c r="T60" s="1"/>
      <c r="U60" s="1"/>
      <c r="V60" s="1" t="s">
        <v>62</v>
      </c>
      <c r="W60" s="1" t="s">
        <v>39</v>
      </c>
      <c r="X60" s="1" t="s">
        <v>40</v>
      </c>
      <c r="Y60">
        <v>1</v>
      </c>
      <c r="Z60" s="1" t="s">
        <v>63</v>
      </c>
      <c r="AA60" s="1"/>
      <c r="AB60" s="1"/>
      <c r="AC60" s="1"/>
    </row>
    <row r="61" spans="1:29" x14ac:dyDescent="0.3">
      <c r="A61" s="1" t="s">
        <v>297</v>
      </c>
      <c r="B61">
        <v>62</v>
      </c>
      <c r="C61" s="1" t="s">
        <v>28</v>
      </c>
      <c r="D61" s="1" t="s">
        <v>81</v>
      </c>
      <c r="E61" s="1" t="s">
        <v>30</v>
      </c>
      <c r="F61" s="1"/>
      <c r="G61" s="1"/>
      <c r="H61" s="1" t="s">
        <v>298</v>
      </c>
      <c r="I61" s="1" t="s">
        <v>299</v>
      </c>
      <c r="J61" s="1" t="s">
        <v>284</v>
      </c>
      <c r="K61" s="1"/>
      <c r="L61" s="1" t="s">
        <v>61</v>
      </c>
      <c r="M61" s="1"/>
      <c r="N61" s="1"/>
      <c r="O61" s="2"/>
      <c r="P61" s="2"/>
      <c r="Q61" s="1"/>
      <c r="R61" s="1"/>
      <c r="S61" s="1"/>
      <c r="T61" s="1"/>
      <c r="U61" s="1"/>
      <c r="V61" s="1" t="s">
        <v>62</v>
      </c>
      <c r="W61" s="1" t="s">
        <v>39</v>
      </c>
      <c r="X61" s="1" t="s">
        <v>40</v>
      </c>
      <c r="Y61">
        <v>1</v>
      </c>
      <c r="Z61" s="1" t="s">
        <v>63</v>
      </c>
      <c r="AA61" s="1"/>
      <c r="AB61" s="1"/>
      <c r="AC61" s="1"/>
    </row>
    <row r="62" spans="1:29" x14ac:dyDescent="0.3">
      <c r="A62" s="1" t="s">
        <v>300</v>
      </c>
      <c r="B62">
        <v>63</v>
      </c>
      <c r="C62" s="1" t="s">
        <v>28</v>
      </c>
      <c r="D62" s="1" t="s">
        <v>120</v>
      </c>
      <c r="E62" s="1" t="s">
        <v>199</v>
      </c>
      <c r="F62" s="1"/>
      <c r="G62" s="1"/>
      <c r="H62" s="1" t="s">
        <v>301</v>
      </c>
      <c r="I62" s="1" t="s">
        <v>302</v>
      </c>
      <c r="J62" s="1" t="s">
        <v>303</v>
      </c>
      <c r="K62" s="1" t="s">
        <v>303</v>
      </c>
      <c r="L62" s="1" t="s">
        <v>61</v>
      </c>
      <c r="M62" s="1"/>
      <c r="N62" s="1"/>
      <c r="O62" s="2"/>
      <c r="P62" s="2"/>
      <c r="Q62" s="1"/>
      <c r="R62" s="1"/>
      <c r="S62" s="1"/>
      <c r="T62" s="1"/>
      <c r="U62" s="1"/>
      <c r="V62" s="1" t="s">
        <v>62</v>
      </c>
      <c r="W62" s="1" t="s">
        <v>39</v>
      </c>
      <c r="X62" s="1" t="s">
        <v>40</v>
      </c>
      <c r="Y62">
        <v>1</v>
      </c>
      <c r="Z62" s="1" t="s">
        <v>114</v>
      </c>
      <c r="AA62" s="1"/>
      <c r="AB62" s="1"/>
      <c r="AC62" s="1"/>
    </row>
    <row r="63" spans="1:29" x14ac:dyDescent="0.3">
      <c r="A63" s="1" t="s">
        <v>304</v>
      </c>
      <c r="B63">
        <v>64</v>
      </c>
      <c r="C63" s="1" t="s">
        <v>28</v>
      </c>
      <c r="D63" s="1" t="s">
        <v>29</v>
      </c>
      <c r="E63" s="1" t="s">
        <v>199</v>
      </c>
      <c r="F63" s="1"/>
      <c r="G63" s="1"/>
      <c r="H63" s="1" t="s">
        <v>305</v>
      </c>
      <c r="I63" s="1" t="s">
        <v>306</v>
      </c>
      <c r="J63" s="1" t="s">
        <v>33</v>
      </c>
      <c r="K63" s="1" t="s">
        <v>280</v>
      </c>
      <c r="L63" s="1" t="s">
        <v>35</v>
      </c>
      <c r="M63" s="1"/>
      <c r="N63" s="1"/>
      <c r="O63" s="2"/>
      <c r="P63" s="2"/>
      <c r="Q63" s="1" t="s">
        <v>46</v>
      </c>
      <c r="R63" s="1" t="s">
        <v>46</v>
      </c>
      <c r="S63" s="1" t="s">
        <v>46</v>
      </c>
      <c r="T63" s="1" t="s">
        <v>46</v>
      </c>
      <c r="U63" s="1"/>
      <c r="V63" s="1" t="s">
        <v>47</v>
      </c>
      <c r="W63" s="1" t="s">
        <v>39</v>
      </c>
      <c r="X63" s="1" t="s">
        <v>48</v>
      </c>
      <c r="Y63">
        <v>0</v>
      </c>
      <c r="Z63" s="1"/>
      <c r="AA63" s="1"/>
      <c r="AB63" s="1"/>
      <c r="AC63" s="1"/>
    </row>
    <row r="64" spans="1:29" x14ac:dyDescent="0.3">
      <c r="A64" s="1" t="s">
        <v>307</v>
      </c>
      <c r="B64">
        <v>65</v>
      </c>
      <c r="C64" s="1" t="s">
        <v>28</v>
      </c>
      <c r="D64" s="1" t="s">
        <v>29</v>
      </c>
      <c r="E64" s="1" t="s">
        <v>104</v>
      </c>
      <c r="F64" s="1"/>
      <c r="G64" s="1"/>
      <c r="H64" s="1" t="s">
        <v>308</v>
      </c>
      <c r="I64" s="1" t="s">
        <v>309</v>
      </c>
      <c r="J64" s="1" t="s">
        <v>90</v>
      </c>
      <c r="K64" s="1"/>
      <c r="L64" s="1" t="s">
        <v>35</v>
      </c>
      <c r="M64" s="1"/>
      <c r="N64" s="1"/>
      <c r="O64" s="2">
        <v>42675</v>
      </c>
      <c r="P64" s="2">
        <v>43039</v>
      </c>
      <c r="Q64" s="1" t="s">
        <v>77</v>
      </c>
      <c r="R64" s="1" t="s">
        <v>310</v>
      </c>
      <c r="S64" s="1"/>
      <c r="T64" s="1"/>
      <c r="U64" s="1"/>
      <c r="V64" s="1" t="s">
        <v>39</v>
      </c>
      <c r="W64" s="1" t="s">
        <v>39</v>
      </c>
      <c r="X64" s="1" t="s">
        <v>48</v>
      </c>
      <c r="Y64">
        <v>0</v>
      </c>
      <c r="Z64" s="1" t="s">
        <v>79</v>
      </c>
      <c r="AA64" s="1"/>
      <c r="AB64" s="1"/>
      <c r="AC64" s="1"/>
    </row>
    <row r="65" spans="1:29" x14ac:dyDescent="0.3">
      <c r="A65" s="1" t="s">
        <v>311</v>
      </c>
      <c r="B65">
        <v>66</v>
      </c>
      <c r="C65" s="1" t="s">
        <v>28</v>
      </c>
      <c r="D65" s="1" t="s">
        <v>29</v>
      </c>
      <c r="E65" s="1" t="s">
        <v>104</v>
      </c>
      <c r="F65" s="1"/>
      <c r="G65" s="1"/>
      <c r="H65" s="1" t="s">
        <v>312</v>
      </c>
      <c r="I65" s="1" t="s">
        <v>313</v>
      </c>
      <c r="J65" s="1" t="s">
        <v>90</v>
      </c>
      <c r="K65" s="1" t="s">
        <v>314</v>
      </c>
      <c r="L65" s="1" t="s">
        <v>55</v>
      </c>
      <c r="M65" s="1"/>
      <c r="N65" s="1"/>
      <c r="O65" s="2">
        <v>40544</v>
      </c>
      <c r="P65" s="2"/>
      <c r="Q65" s="1" t="s">
        <v>77</v>
      </c>
      <c r="R65" s="1" t="s">
        <v>56</v>
      </c>
      <c r="S65" s="1"/>
      <c r="T65" s="1" t="s">
        <v>315</v>
      </c>
      <c r="U65" s="1"/>
      <c r="V65" s="1" t="s">
        <v>39</v>
      </c>
      <c r="W65" s="1" t="s">
        <v>39</v>
      </c>
      <c r="X65" s="1" t="s">
        <v>48</v>
      </c>
      <c r="Y65">
        <v>0</v>
      </c>
      <c r="Z65" s="1"/>
      <c r="AA65" s="1"/>
      <c r="AB65" s="1"/>
      <c r="AC65" s="1"/>
    </row>
    <row r="66" spans="1:29" x14ac:dyDescent="0.3">
      <c r="A66" s="1" t="s">
        <v>316</v>
      </c>
      <c r="B66">
        <v>67</v>
      </c>
      <c r="C66" s="1" t="s">
        <v>28</v>
      </c>
      <c r="D66" s="1" t="s">
        <v>65</v>
      </c>
      <c r="E66" s="1" t="s">
        <v>30</v>
      </c>
      <c r="F66" s="1"/>
      <c r="G66" s="1"/>
      <c r="H66" s="1" t="s">
        <v>317</v>
      </c>
      <c r="I66" s="1" t="s">
        <v>318</v>
      </c>
      <c r="J66" s="1" t="s">
        <v>112</v>
      </c>
      <c r="K66" s="1" t="s">
        <v>113</v>
      </c>
      <c r="L66" s="1" t="s">
        <v>55</v>
      </c>
      <c r="M66" s="1"/>
      <c r="N66" s="1"/>
      <c r="O66" s="2">
        <v>45809</v>
      </c>
      <c r="P66" s="2">
        <v>46904</v>
      </c>
      <c r="Q66" s="1" t="s">
        <v>193</v>
      </c>
      <c r="R66" s="1" t="s">
        <v>56</v>
      </c>
      <c r="S66" s="1"/>
      <c r="T66" s="1"/>
      <c r="U66" s="1"/>
      <c r="V66" s="1" t="s">
        <v>39</v>
      </c>
      <c r="W66" s="1" t="s">
        <v>39</v>
      </c>
      <c r="X66" s="1" t="s">
        <v>48</v>
      </c>
      <c r="Y66">
        <v>0</v>
      </c>
      <c r="Z66" s="1"/>
      <c r="AA66" s="1"/>
      <c r="AB66" s="1"/>
      <c r="AC66" s="1"/>
    </row>
    <row r="67" spans="1:29" x14ac:dyDescent="0.3">
      <c r="A67" s="1" t="s">
        <v>319</v>
      </c>
      <c r="B67">
        <v>68</v>
      </c>
      <c r="C67" s="1" t="s">
        <v>28</v>
      </c>
      <c r="D67" s="1" t="s">
        <v>29</v>
      </c>
      <c r="E67" s="1" t="s">
        <v>82</v>
      </c>
      <c r="F67" s="1"/>
      <c r="G67" s="1"/>
      <c r="H67" s="1" t="s">
        <v>320</v>
      </c>
      <c r="I67" s="1" t="s">
        <v>321</v>
      </c>
      <c r="J67" s="1" t="s">
        <v>33</v>
      </c>
      <c r="K67" s="1" t="s">
        <v>142</v>
      </c>
      <c r="L67" s="1" t="s">
        <v>35</v>
      </c>
      <c r="M67" s="1"/>
      <c r="N67" s="1"/>
      <c r="O67" s="2">
        <v>45627</v>
      </c>
      <c r="P67" s="2">
        <v>45991</v>
      </c>
      <c r="Q67" s="1" t="s">
        <v>100</v>
      </c>
      <c r="R67" s="1" t="s">
        <v>56</v>
      </c>
      <c r="S67" s="1"/>
      <c r="T67" s="1"/>
      <c r="U67" s="1"/>
      <c r="V67" s="1" t="s">
        <v>39</v>
      </c>
      <c r="W67" s="1" t="s">
        <v>39</v>
      </c>
      <c r="X67" s="1" t="s">
        <v>40</v>
      </c>
      <c r="Y67">
        <v>1</v>
      </c>
      <c r="Z67" s="1" t="s">
        <v>322</v>
      </c>
      <c r="AA67" s="1"/>
      <c r="AB67" s="1"/>
      <c r="AC67" s="1"/>
    </row>
    <row r="68" spans="1:29" x14ac:dyDescent="0.3">
      <c r="A68" s="1" t="s">
        <v>323</v>
      </c>
      <c r="B68">
        <v>69</v>
      </c>
      <c r="C68" s="1" t="s">
        <v>28</v>
      </c>
      <c r="D68" s="1" t="s">
        <v>120</v>
      </c>
      <c r="E68" s="1" t="s">
        <v>30</v>
      </c>
      <c r="F68" s="1"/>
      <c r="G68" s="1"/>
      <c r="H68" s="1" t="s">
        <v>324</v>
      </c>
      <c r="I68" s="1" t="s">
        <v>325</v>
      </c>
      <c r="J68" s="1" t="s">
        <v>303</v>
      </c>
      <c r="K68" s="1" t="s">
        <v>303</v>
      </c>
      <c r="L68" s="1" t="s">
        <v>61</v>
      </c>
      <c r="M68" s="1"/>
      <c r="N68" s="1"/>
      <c r="O68" s="2"/>
      <c r="P68" s="2"/>
      <c r="Q68" s="1"/>
      <c r="R68" s="1"/>
      <c r="S68" s="1"/>
      <c r="T68" s="1"/>
      <c r="U68" s="1"/>
      <c r="V68" s="1" t="s">
        <v>62</v>
      </c>
      <c r="W68" s="1" t="s">
        <v>39</v>
      </c>
      <c r="X68" s="1" t="s">
        <v>40</v>
      </c>
      <c r="Y68">
        <v>1</v>
      </c>
      <c r="Z68" s="1" t="s">
        <v>114</v>
      </c>
      <c r="AA68" s="1"/>
      <c r="AB68" s="1"/>
      <c r="AC68" s="1"/>
    </row>
    <row r="69" spans="1:29" x14ac:dyDescent="0.3">
      <c r="A69" s="1" t="s">
        <v>326</v>
      </c>
      <c r="B69">
        <v>70</v>
      </c>
      <c r="C69" s="1" t="s">
        <v>28</v>
      </c>
      <c r="D69" s="1" t="s">
        <v>65</v>
      </c>
      <c r="E69" s="1" t="s">
        <v>30</v>
      </c>
      <c r="F69" s="1"/>
      <c r="G69" s="1"/>
      <c r="H69" s="1" t="s">
        <v>327</v>
      </c>
      <c r="I69" s="1" t="s">
        <v>328</v>
      </c>
      <c r="J69" s="1" t="s">
        <v>112</v>
      </c>
      <c r="K69" s="1" t="s">
        <v>329</v>
      </c>
      <c r="L69" s="1" t="s">
        <v>61</v>
      </c>
      <c r="M69" s="1"/>
      <c r="N69" s="1"/>
      <c r="O69" s="2"/>
      <c r="P69" s="2"/>
      <c r="Q69" s="1"/>
      <c r="R69" s="1"/>
      <c r="S69" s="1"/>
      <c r="T69" s="1"/>
      <c r="U69" s="1"/>
      <c r="V69" s="1" t="s">
        <v>62</v>
      </c>
      <c r="W69" s="1" t="s">
        <v>39</v>
      </c>
      <c r="X69" s="1" t="s">
        <v>40</v>
      </c>
      <c r="Y69">
        <v>1</v>
      </c>
      <c r="Z69" s="1" t="s">
        <v>114</v>
      </c>
      <c r="AA69" s="1"/>
      <c r="AB69" s="1"/>
      <c r="AC69" s="1"/>
    </row>
    <row r="70" spans="1:29" x14ac:dyDescent="0.3">
      <c r="A70" s="1" t="s">
        <v>330</v>
      </c>
      <c r="B70">
        <v>71</v>
      </c>
      <c r="C70" s="1" t="s">
        <v>28</v>
      </c>
      <c r="D70" s="1" t="s">
        <v>103</v>
      </c>
      <c r="E70" s="1" t="s">
        <v>199</v>
      </c>
      <c r="F70" s="1"/>
      <c r="G70" s="1"/>
      <c r="H70" s="1" t="s">
        <v>331</v>
      </c>
      <c r="I70" s="1" t="s">
        <v>332</v>
      </c>
      <c r="J70" s="1" t="s">
        <v>107</v>
      </c>
      <c r="K70" s="1"/>
      <c r="L70" s="1" t="s">
        <v>55</v>
      </c>
      <c r="M70" s="1"/>
      <c r="N70" s="1"/>
      <c r="O70" s="2"/>
      <c r="P70" s="2"/>
      <c r="Q70" s="1" t="s">
        <v>46</v>
      </c>
      <c r="R70" s="1" t="s">
        <v>46</v>
      </c>
      <c r="S70" s="1" t="s">
        <v>46</v>
      </c>
      <c r="T70" s="1" t="s">
        <v>46</v>
      </c>
      <c r="U70" s="1"/>
      <c r="V70" s="1" t="s">
        <v>47</v>
      </c>
      <c r="W70" s="1" t="s">
        <v>39</v>
      </c>
      <c r="X70" s="1" t="s">
        <v>48</v>
      </c>
      <c r="Y70">
        <v>0</v>
      </c>
      <c r="Z70" s="1" t="s">
        <v>79</v>
      </c>
      <c r="AA70" s="1"/>
      <c r="AB70" s="1"/>
      <c r="AC70" s="1"/>
    </row>
    <row r="71" spans="1:29" x14ac:dyDescent="0.3">
      <c r="A71" s="1" t="s">
        <v>333</v>
      </c>
      <c r="B71">
        <v>72</v>
      </c>
      <c r="C71" s="1" t="s">
        <v>28</v>
      </c>
      <c r="D71" s="1" t="s">
        <v>81</v>
      </c>
      <c r="E71" s="1" t="s">
        <v>30</v>
      </c>
      <c r="F71" s="1"/>
      <c r="G71" s="1"/>
      <c r="H71" s="1" t="s">
        <v>334</v>
      </c>
      <c r="I71" s="1" t="s">
        <v>335</v>
      </c>
      <c r="J71" s="1" t="s">
        <v>284</v>
      </c>
      <c r="K71" s="1"/>
      <c r="L71" s="1" t="s">
        <v>61</v>
      </c>
      <c r="M71" s="1"/>
      <c r="N71" s="1"/>
      <c r="O71" s="2"/>
      <c r="P71" s="2"/>
      <c r="Q71" s="1"/>
      <c r="R71" s="1"/>
      <c r="S71" s="1"/>
      <c r="T71" s="1"/>
      <c r="U71" s="1"/>
      <c r="V71" s="1" t="s">
        <v>62</v>
      </c>
      <c r="W71" s="1" t="s">
        <v>39</v>
      </c>
      <c r="X71" s="1" t="s">
        <v>40</v>
      </c>
      <c r="Y71">
        <v>1</v>
      </c>
      <c r="Z71" s="1" t="s">
        <v>63</v>
      </c>
      <c r="AA71" s="1"/>
      <c r="AB71" s="1"/>
      <c r="AC71" s="1"/>
    </row>
    <row r="72" spans="1:29" x14ac:dyDescent="0.3">
      <c r="A72" s="1" t="s">
        <v>336</v>
      </c>
      <c r="B72">
        <v>73</v>
      </c>
      <c r="C72" s="1" t="s">
        <v>28</v>
      </c>
      <c r="D72" s="1" t="s">
        <v>81</v>
      </c>
      <c r="E72" s="1" t="s">
        <v>30</v>
      </c>
      <c r="F72" s="1"/>
      <c r="G72" s="1"/>
      <c r="H72" s="1" t="s">
        <v>337</v>
      </c>
      <c r="I72" s="1" t="s">
        <v>338</v>
      </c>
      <c r="J72" s="1" t="s">
        <v>339</v>
      </c>
      <c r="K72" s="1"/>
      <c r="L72" s="1" t="s">
        <v>61</v>
      </c>
      <c r="M72" s="1"/>
      <c r="N72" s="1"/>
      <c r="O72" s="2"/>
      <c r="P72" s="2"/>
      <c r="Q72" s="1"/>
      <c r="R72" s="1"/>
      <c r="S72" s="1"/>
      <c r="T72" s="1"/>
      <c r="U72" s="1"/>
      <c r="V72" s="1" t="s">
        <v>62</v>
      </c>
      <c r="W72" s="1" t="s">
        <v>39</v>
      </c>
      <c r="X72" s="1" t="s">
        <v>40</v>
      </c>
      <c r="Y72">
        <v>1</v>
      </c>
      <c r="Z72" s="1" t="s">
        <v>63</v>
      </c>
      <c r="AA72" s="1"/>
      <c r="AB72" s="1"/>
      <c r="AC72" s="1"/>
    </row>
    <row r="73" spans="1:29" x14ac:dyDescent="0.3">
      <c r="A73" s="1" t="s">
        <v>340</v>
      </c>
      <c r="B73">
        <v>74</v>
      </c>
      <c r="C73" s="1" t="s">
        <v>28</v>
      </c>
      <c r="D73" s="1" t="s">
        <v>65</v>
      </c>
      <c r="E73" s="1" t="s">
        <v>104</v>
      </c>
      <c r="F73" s="1"/>
      <c r="G73" s="1"/>
      <c r="H73" s="1" t="s">
        <v>341</v>
      </c>
      <c r="I73" s="1" t="s">
        <v>342</v>
      </c>
      <c r="J73" s="1" t="s">
        <v>68</v>
      </c>
      <c r="K73" s="1" t="s">
        <v>69</v>
      </c>
      <c r="L73" s="1" t="s">
        <v>55</v>
      </c>
      <c r="M73" s="1"/>
      <c r="N73" s="1"/>
      <c r="O73" s="2">
        <v>43087</v>
      </c>
      <c r="P73" s="2">
        <v>44177</v>
      </c>
      <c r="Q73" s="1" t="s">
        <v>77</v>
      </c>
      <c r="R73" s="1" t="s">
        <v>56</v>
      </c>
      <c r="S73" s="1"/>
      <c r="T73" s="1"/>
      <c r="U73" s="1"/>
      <c r="V73" s="1" t="s">
        <v>39</v>
      </c>
      <c r="W73" s="1" t="s">
        <v>39</v>
      </c>
      <c r="X73" s="1" t="s">
        <v>48</v>
      </c>
      <c r="Y73">
        <v>0</v>
      </c>
      <c r="Z73" s="1" t="s">
        <v>343</v>
      </c>
      <c r="AA73" s="1"/>
      <c r="AB73" s="1"/>
      <c r="AC73" s="1"/>
    </row>
    <row r="74" spans="1:29" x14ac:dyDescent="0.3">
      <c r="A74" s="1" t="s">
        <v>344</v>
      </c>
      <c r="B74">
        <v>75</v>
      </c>
      <c r="C74" s="1" t="s">
        <v>28</v>
      </c>
      <c r="D74" s="1" t="s">
        <v>50</v>
      </c>
      <c r="E74" s="1" t="s">
        <v>30</v>
      </c>
      <c r="F74" s="1"/>
      <c r="G74" s="1"/>
      <c r="H74" s="1" t="s">
        <v>345</v>
      </c>
      <c r="I74" s="1" t="s">
        <v>346</v>
      </c>
      <c r="J74" s="1" t="s">
        <v>347</v>
      </c>
      <c r="K74" s="1" t="s">
        <v>138</v>
      </c>
      <c r="L74" s="1" t="s">
        <v>61</v>
      </c>
      <c r="M74" s="1"/>
      <c r="N74" s="1"/>
      <c r="O74" s="2"/>
      <c r="P74" s="2"/>
      <c r="Q74" s="1"/>
      <c r="R74" s="1"/>
      <c r="S74" s="1"/>
      <c r="T74" s="1"/>
      <c r="U74" s="1"/>
      <c r="V74" s="1" t="s">
        <v>62</v>
      </c>
      <c r="W74" s="1" t="s">
        <v>39</v>
      </c>
      <c r="X74" s="1" t="s">
        <v>40</v>
      </c>
      <c r="Y74">
        <v>1</v>
      </c>
      <c r="Z74" s="1" t="s">
        <v>114</v>
      </c>
      <c r="AA74" s="1"/>
      <c r="AB74" s="1"/>
      <c r="AC74" s="1"/>
    </row>
    <row r="75" spans="1:29" x14ac:dyDescent="0.3">
      <c r="A75" s="1" t="s">
        <v>348</v>
      </c>
      <c r="B75">
        <v>76</v>
      </c>
      <c r="C75" s="1" t="s">
        <v>28</v>
      </c>
      <c r="D75" s="1" t="s">
        <v>65</v>
      </c>
      <c r="E75" s="1" t="s">
        <v>104</v>
      </c>
      <c r="F75" s="1"/>
      <c r="G75" s="1"/>
      <c r="H75" s="1" t="s">
        <v>349</v>
      </c>
      <c r="I75" s="1" t="s">
        <v>350</v>
      </c>
      <c r="J75" s="1" t="s">
        <v>68</v>
      </c>
      <c r="K75" s="1" t="s">
        <v>69</v>
      </c>
      <c r="L75" s="1" t="s">
        <v>55</v>
      </c>
      <c r="M75" s="1"/>
      <c r="N75" s="1"/>
      <c r="O75" s="2">
        <v>44543</v>
      </c>
      <c r="P75" s="2"/>
      <c r="Q75" s="1" t="s">
        <v>77</v>
      </c>
      <c r="R75" s="1" t="s">
        <v>56</v>
      </c>
      <c r="S75" s="1"/>
      <c r="T75" s="1" t="s">
        <v>78</v>
      </c>
      <c r="U75" s="1"/>
      <c r="V75" s="1" t="s">
        <v>39</v>
      </c>
      <c r="W75" s="1" t="s">
        <v>39</v>
      </c>
      <c r="X75" s="1" t="s">
        <v>48</v>
      </c>
      <c r="Y75">
        <v>0</v>
      </c>
      <c r="Z75" s="1"/>
      <c r="AA75" s="1"/>
      <c r="AB75" s="1"/>
      <c r="AC75" s="1"/>
    </row>
    <row r="76" spans="1:29" x14ac:dyDescent="0.3">
      <c r="A76" s="1" t="s">
        <v>351</v>
      </c>
      <c r="B76">
        <v>77</v>
      </c>
      <c r="C76" s="1" t="s">
        <v>28</v>
      </c>
      <c r="D76" s="1" t="s">
        <v>65</v>
      </c>
      <c r="E76" s="1" t="s">
        <v>104</v>
      </c>
      <c r="F76" s="1"/>
      <c r="G76" s="1"/>
      <c r="H76" s="1" t="s">
        <v>352</v>
      </c>
      <c r="I76" s="1" t="s">
        <v>353</v>
      </c>
      <c r="J76" s="1" t="s">
        <v>68</v>
      </c>
      <c r="K76" s="1" t="s">
        <v>69</v>
      </c>
      <c r="L76" s="1" t="s">
        <v>55</v>
      </c>
      <c r="M76" s="1"/>
      <c r="N76" s="1"/>
      <c r="O76" s="2"/>
      <c r="P76" s="2"/>
      <c r="Q76" s="1" t="s">
        <v>77</v>
      </c>
      <c r="R76" s="1" t="s">
        <v>310</v>
      </c>
      <c r="S76" s="1" t="s">
        <v>37</v>
      </c>
      <c r="T76" s="1" t="s">
        <v>78</v>
      </c>
      <c r="U76" s="1"/>
      <c r="V76" s="1" t="s">
        <v>38</v>
      </c>
      <c r="W76" s="1" t="s">
        <v>39</v>
      </c>
      <c r="X76" s="1" t="s">
        <v>40</v>
      </c>
      <c r="Y76">
        <v>1</v>
      </c>
      <c r="Z76" s="1" t="s">
        <v>41</v>
      </c>
      <c r="AA76" s="1"/>
      <c r="AB76" s="1"/>
      <c r="AC76" s="1"/>
    </row>
    <row r="77" spans="1:29" x14ac:dyDescent="0.3">
      <c r="A77" s="1" t="s">
        <v>354</v>
      </c>
      <c r="B77">
        <v>78</v>
      </c>
      <c r="C77" s="1" t="s">
        <v>28</v>
      </c>
      <c r="D77" s="1" t="s">
        <v>81</v>
      </c>
      <c r="E77" s="1" t="s">
        <v>30</v>
      </c>
      <c r="F77" s="1"/>
      <c r="G77" s="1"/>
      <c r="H77" s="1" t="s">
        <v>355</v>
      </c>
      <c r="I77" s="1" t="s">
        <v>356</v>
      </c>
      <c r="J77" s="1" t="s">
        <v>210</v>
      </c>
      <c r="K77" s="1" t="s">
        <v>211</v>
      </c>
      <c r="L77" s="1" t="s">
        <v>55</v>
      </c>
      <c r="M77" s="1"/>
      <c r="N77" s="1"/>
      <c r="O77" s="2">
        <v>45849</v>
      </c>
      <c r="P77" s="2"/>
      <c r="Q77" s="1" t="s">
        <v>77</v>
      </c>
      <c r="R77" s="1" t="s">
        <v>71</v>
      </c>
      <c r="S77" s="1"/>
      <c r="T77" s="1"/>
      <c r="U77" s="1" t="s">
        <v>357</v>
      </c>
      <c r="V77" s="1" t="s">
        <v>40</v>
      </c>
      <c r="W77" s="1" t="s">
        <v>39</v>
      </c>
      <c r="X77" s="1" t="s">
        <v>40</v>
      </c>
      <c r="Y77">
        <v>2</v>
      </c>
      <c r="Z77" s="1" t="s">
        <v>73</v>
      </c>
      <c r="AA77" s="1"/>
      <c r="AB77" s="1"/>
      <c r="AC77" s="1"/>
    </row>
    <row r="78" spans="1:29" x14ac:dyDescent="0.3">
      <c r="A78" s="1" t="s">
        <v>358</v>
      </c>
      <c r="B78">
        <v>79</v>
      </c>
      <c r="C78" s="1" t="s">
        <v>28</v>
      </c>
      <c r="D78" s="1" t="s">
        <v>81</v>
      </c>
      <c r="E78" s="1" t="s">
        <v>30</v>
      </c>
      <c r="F78" s="1"/>
      <c r="G78" s="1"/>
      <c r="H78" s="1" t="s">
        <v>359</v>
      </c>
      <c r="I78" s="1" t="s">
        <v>360</v>
      </c>
      <c r="J78" s="1" t="s">
        <v>284</v>
      </c>
      <c r="K78" s="1" t="s">
        <v>361</v>
      </c>
      <c r="L78" s="1" t="s">
        <v>55</v>
      </c>
      <c r="M78" s="1"/>
      <c r="N78" s="1"/>
      <c r="O78" s="2">
        <v>45839</v>
      </c>
      <c r="P78" s="2">
        <v>46022</v>
      </c>
      <c r="Q78" s="1" t="s">
        <v>212</v>
      </c>
      <c r="R78" s="1" t="s">
        <v>212</v>
      </c>
      <c r="S78" s="1"/>
      <c r="T78" s="1"/>
      <c r="U78" s="1"/>
      <c r="V78" s="1" t="s">
        <v>38</v>
      </c>
      <c r="W78" s="1" t="s">
        <v>39</v>
      </c>
      <c r="X78" s="1" t="s">
        <v>40</v>
      </c>
      <c r="Y78">
        <v>1</v>
      </c>
      <c r="Z78" s="1" t="s">
        <v>41</v>
      </c>
      <c r="AA78" s="1"/>
      <c r="AB78" s="1"/>
      <c r="AC78" s="1"/>
    </row>
    <row r="79" spans="1:29" x14ac:dyDescent="0.3">
      <c r="A79" s="1" t="s">
        <v>362</v>
      </c>
      <c r="B79">
        <v>80</v>
      </c>
      <c r="C79" s="1" t="s">
        <v>28</v>
      </c>
      <c r="D79" s="1" t="s">
        <v>65</v>
      </c>
      <c r="E79" s="1" t="s">
        <v>104</v>
      </c>
      <c r="F79" s="1"/>
      <c r="G79" s="1"/>
      <c r="H79" s="1" t="s">
        <v>363</v>
      </c>
      <c r="I79" s="1" t="s">
        <v>364</v>
      </c>
      <c r="J79" s="1" t="s">
        <v>112</v>
      </c>
      <c r="K79" s="1" t="s">
        <v>113</v>
      </c>
      <c r="L79" s="1" t="s">
        <v>55</v>
      </c>
      <c r="M79" s="1"/>
      <c r="N79" s="1"/>
      <c r="O79" s="2">
        <v>43466</v>
      </c>
      <c r="P79" s="2">
        <v>45292</v>
      </c>
      <c r="Q79" s="1" t="s">
        <v>365</v>
      </c>
      <c r="R79" s="1" t="s">
        <v>212</v>
      </c>
      <c r="S79" s="1"/>
      <c r="T79" s="1"/>
      <c r="U79" s="1"/>
      <c r="V79" s="1" t="s">
        <v>38</v>
      </c>
      <c r="W79" s="1" t="s">
        <v>39</v>
      </c>
      <c r="X79" s="1" t="s">
        <v>40</v>
      </c>
      <c r="Y79">
        <v>1</v>
      </c>
      <c r="Z79" s="1" t="s">
        <v>41</v>
      </c>
      <c r="AA79" s="1"/>
      <c r="AB79" s="1"/>
      <c r="AC79" s="1"/>
    </row>
    <row r="80" spans="1:29" x14ac:dyDescent="0.3">
      <c r="A80" s="1" t="s">
        <v>366</v>
      </c>
      <c r="B80">
        <v>81</v>
      </c>
      <c r="C80" s="1" t="s">
        <v>28</v>
      </c>
      <c r="D80" s="1" t="s">
        <v>65</v>
      </c>
      <c r="E80" s="1" t="s">
        <v>104</v>
      </c>
      <c r="F80" s="1"/>
      <c r="G80" s="1"/>
      <c r="H80" s="1" t="s">
        <v>367</v>
      </c>
      <c r="I80" s="1" t="s">
        <v>368</v>
      </c>
      <c r="J80" s="1" t="s">
        <v>112</v>
      </c>
      <c r="K80" s="1" t="s">
        <v>113</v>
      </c>
      <c r="L80" s="1" t="s">
        <v>55</v>
      </c>
      <c r="M80" s="1"/>
      <c r="N80" s="1" t="s">
        <v>369</v>
      </c>
      <c r="O80" s="2">
        <v>44621</v>
      </c>
      <c r="P80" s="2"/>
      <c r="Q80" s="1" t="s">
        <v>77</v>
      </c>
      <c r="R80" s="1" t="s">
        <v>71</v>
      </c>
      <c r="S80" s="1"/>
      <c r="T80" s="1" t="s">
        <v>78</v>
      </c>
      <c r="U80" s="1"/>
      <c r="V80" s="1" t="s">
        <v>39</v>
      </c>
      <c r="W80" s="1" t="s">
        <v>39</v>
      </c>
      <c r="X80" s="1" t="s">
        <v>48</v>
      </c>
      <c r="Y80">
        <v>0</v>
      </c>
      <c r="Z80" s="1"/>
      <c r="AA80" s="1"/>
      <c r="AB80" s="1"/>
      <c r="AC80" s="1"/>
    </row>
    <row r="81" spans="1:29" x14ac:dyDescent="0.3">
      <c r="A81" s="1" t="s">
        <v>370</v>
      </c>
      <c r="B81">
        <v>82</v>
      </c>
      <c r="C81" s="1" t="s">
        <v>28</v>
      </c>
      <c r="D81" s="1" t="s">
        <v>29</v>
      </c>
      <c r="E81" s="1" t="s">
        <v>104</v>
      </c>
      <c r="F81" s="1"/>
      <c r="G81" s="1"/>
      <c r="H81" s="1" t="s">
        <v>371</v>
      </c>
      <c r="I81" s="1" t="s">
        <v>372</v>
      </c>
      <c r="J81" s="1" t="s">
        <v>60</v>
      </c>
      <c r="K81" s="1"/>
      <c r="L81" s="1" t="s">
        <v>55</v>
      </c>
      <c r="M81" s="1"/>
      <c r="N81" s="1"/>
      <c r="O81" s="2">
        <v>45292</v>
      </c>
      <c r="P81" s="2"/>
      <c r="Q81" s="1" t="s">
        <v>77</v>
      </c>
      <c r="R81" s="1"/>
      <c r="S81" s="1"/>
      <c r="T81" s="1" t="s">
        <v>37</v>
      </c>
      <c r="U81" s="1"/>
      <c r="V81" s="1" t="s">
        <v>38</v>
      </c>
      <c r="W81" s="1" t="s">
        <v>39</v>
      </c>
      <c r="X81" s="1" t="s">
        <v>40</v>
      </c>
      <c r="Y81">
        <v>1</v>
      </c>
      <c r="Z81" s="1" t="s">
        <v>108</v>
      </c>
      <c r="AA81" s="1"/>
      <c r="AB81" s="1"/>
      <c r="AC81" s="1"/>
    </row>
    <row r="82" spans="1:29" x14ac:dyDescent="0.3">
      <c r="A82" s="1" t="s">
        <v>373</v>
      </c>
      <c r="B82">
        <v>83</v>
      </c>
      <c r="C82" s="1" t="s">
        <v>28</v>
      </c>
      <c r="D82" s="1" t="s">
        <v>50</v>
      </c>
      <c r="E82" s="1" t="s">
        <v>30</v>
      </c>
      <c r="F82" s="1"/>
      <c r="G82" s="1"/>
      <c r="H82" s="1" t="s">
        <v>374</v>
      </c>
      <c r="I82" s="1" t="s">
        <v>375</v>
      </c>
      <c r="J82" s="1" t="s">
        <v>98</v>
      </c>
      <c r="K82" s="1" t="s">
        <v>99</v>
      </c>
      <c r="L82" s="1" t="s">
        <v>55</v>
      </c>
      <c r="M82" s="1"/>
      <c r="N82" s="1"/>
      <c r="O82" s="2"/>
      <c r="P82" s="2"/>
      <c r="Q82" s="1"/>
      <c r="R82" s="1"/>
      <c r="S82" s="1"/>
      <c r="T82" s="1"/>
      <c r="U82" s="1"/>
      <c r="V82" s="1" t="s">
        <v>62</v>
      </c>
      <c r="W82" s="1" t="s">
        <v>39</v>
      </c>
      <c r="X82" s="1" t="s">
        <v>40</v>
      </c>
      <c r="Y82">
        <v>1</v>
      </c>
      <c r="Z82" s="1" t="s">
        <v>114</v>
      </c>
      <c r="AA82" s="1"/>
      <c r="AB82" s="1"/>
      <c r="AC82" s="1"/>
    </row>
    <row r="83" spans="1:29" x14ac:dyDescent="0.3">
      <c r="A83" s="1" t="s">
        <v>376</v>
      </c>
      <c r="B83">
        <v>84</v>
      </c>
      <c r="C83" s="1" t="s">
        <v>28</v>
      </c>
      <c r="D83" s="1" t="s">
        <v>50</v>
      </c>
      <c r="E83" s="1" t="s">
        <v>30</v>
      </c>
      <c r="F83" s="1"/>
      <c r="G83" s="1"/>
      <c r="H83" s="1" t="s">
        <v>377</v>
      </c>
      <c r="I83" s="1" t="s">
        <v>378</v>
      </c>
      <c r="J83" s="1" t="s">
        <v>53</v>
      </c>
      <c r="K83" s="1" t="s">
        <v>379</v>
      </c>
      <c r="L83" s="1" t="s">
        <v>55</v>
      </c>
      <c r="M83" s="1"/>
      <c r="N83" s="1"/>
      <c r="O83" s="2">
        <v>45411</v>
      </c>
      <c r="P83" s="2">
        <v>47236</v>
      </c>
      <c r="Q83" s="1" t="s">
        <v>193</v>
      </c>
      <c r="R83" s="1" t="s">
        <v>310</v>
      </c>
      <c r="S83" s="1"/>
      <c r="T83" s="1"/>
      <c r="U83" s="1"/>
      <c r="V83" s="1" t="s">
        <v>39</v>
      </c>
      <c r="W83" s="1" t="s">
        <v>39</v>
      </c>
      <c r="X83" s="1" t="s">
        <v>48</v>
      </c>
      <c r="Y83">
        <v>0</v>
      </c>
      <c r="Z83" s="1"/>
      <c r="AA83" s="1"/>
      <c r="AB83" s="1"/>
      <c r="AC83" s="1"/>
    </row>
    <row r="84" spans="1:29" x14ac:dyDescent="0.3">
      <c r="A84" s="1" t="s">
        <v>380</v>
      </c>
      <c r="B84">
        <v>85</v>
      </c>
      <c r="C84" s="1" t="s">
        <v>28</v>
      </c>
      <c r="D84" s="1" t="s">
        <v>50</v>
      </c>
      <c r="E84" s="1" t="s">
        <v>30</v>
      </c>
      <c r="F84" s="1"/>
      <c r="G84" s="1"/>
      <c r="H84" s="1" t="s">
        <v>381</v>
      </c>
      <c r="I84" s="1" t="s">
        <v>382</v>
      </c>
      <c r="J84" s="1" t="s">
        <v>53</v>
      </c>
      <c r="K84" s="1" t="s">
        <v>54</v>
      </c>
      <c r="L84" s="1" t="s">
        <v>55</v>
      </c>
      <c r="M84" s="1"/>
      <c r="N84" s="1"/>
      <c r="O84" s="2">
        <v>45411</v>
      </c>
      <c r="P84" s="2">
        <v>47236</v>
      </c>
      <c r="Q84" s="1" t="s">
        <v>193</v>
      </c>
      <c r="R84" s="1" t="s">
        <v>56</v>
      </c>
      <c r="S84" s="1"/>
      <c r="T84" s="1"/>
      <c r="U84" s="1"/>
      <c r="V84" s="1" t="s">
        <v>39</v>
      </c>
      <c r="W84" s="1" t="s">
        <v>39</v>
      </c>
      <c r="X84" s="1" t="s">
        <v>48</v>
      </c>
      <c r="Y84">
        <v>0</v>
      </c>
      <c r="Z84" s="1"/>
      <c r="AA84" s="1"/>
      <c r="AB84" s="1"/>
      <c r="AC84" s="1"/>
    </row>
    <row r="85" spans="1:29" x14ac:dyDescent="0.3">
      <c r="A85" s="1" t="s">
        <v>383</v>
      </c>
      <c r="B85">
        <v>86</v>
      </c>
      <c r="C85" s="1" t="s">
        <v>28</v>
      </c>
      <c r="D85" s="1" t="s">
        <v>50</v>
      </c>
      <c r="E85" s="1" t="s">
        <v>30</v>
      </c>
      <c r="F85" s="1"/>
      <c r="G85" s="1"/>
      <c r="H85" s="1" t="s">
        <v>384</v>
      </c>
      <c r="I85" s="1" t="s">
        <v>385</v>
      </c>
      <c r="J85" s="1" t="s">
        <v>53</v>
      </c>
      <c r="K85" s="1" t="s">
        <v>138</v>
      </c>
      <c r="L85" s="1" t="s">
        <v>61</v>
      </c>
      <c r="M85" s="1"/>
      <c r="N85" s="1"/>
      <c r="O85" s="2"/>
      <c r="P85" s="2"/>
      <c r="Q85" s="1"/>
      <c r="R85" s="1"/>
      <c r="S85" s="1"/>
      <c r="T85" s="1"/>
      <c r="U85" s="1"/>
      <c r="V85" s="1" t="s">
        <v>62</v>
      </c>
      <c r="W85" s="1" t="s">
        <v>39</v>
      </c>
      <c r="X85" s="1" t="s">
        <v>40</v>
      </c>
      <c r="Y85">
        <v>1</v>
      </c>
      <c r="Z85" s="1" t="s">
        <v>114</v>
      </c>
      <c r="AA85" s="1"/>
      <c r="AB85" s="1"/>
      <c r="AC85" s="1"/>
    </row>
    <row r="86" spans="1:29" x14ac:dyDescent="0.3">
      <c r="A86" s="1" t="s">
        <v>386</v>
      </c>
      <c r="B86">
        <v>87</v>
      </c>
      <c r="C86" s="1" t="s">
        <v>28</v>
      </c>
      <c r="D86" s="1" t="s">
        <v>120</v>
      </c>
      <c r="E86" s="1" t="s">
        <v>30</v>
      </c>
      <c r="F86" s="1"/>
      <c r="G86" s="1"/>
      <c r="H86" s="1" t="s">
        <v>387</v>
      </c>
      <c r="I86" s="1" t="s">
        <v>388</v>
      </c>
      <c r="J86" s="1" t="s">
        <v>303</v>
      </c>
      <c r="K86" s="1" t="s">
        <v>389</v>
      </c>
      <c r="L86" s="1" t="s">
        <v>55</v>
      </c>
      <c r="M86" s="1"/>
      <c r="N86" s="1"/>
      <c r="O86" s="2"/>
      <c r="P86" s="2"/>
      <c r="Q86" s="1" t="s">
        <v>390</v>
      </c>
      <c r="R86" s="1" t="s">
        <v>390</v>
      </c>
      <c r="S86" s="1" t="s">
        <v>390</v>
      </c>
      <c r="T86" s="1" t="s">
        <v>390</v>
      </c>
      <c r="U86" s="1"/>
      <c r="V86" s="1" t="s">
        <v>40</v>
      </c>
      <c r="W86" s="1" t="s">
        <v>39</v>
      </c>
      <c r="X86" s="1" t="s">
        <v>40</v>
      </c>
      <c r="Y86">
        <v>1</v>
      </c>
      <c r="Z86" s="1" t="s">
        <v>391</v>
      </c>
      <c r="AA86" s="1"/>
      <c r="AB86" s="1"/>
      <c r="AC86" s="1"/>
    </row>
    <row r="87" spans="1:29" x14ac:dyDescent="0.3">
      <c r="A87" s="1" t="s">
        <v>392</v>
      </c>
      <c r="B87">
        <v>88</v>
      </c>
      <c r="C87" s="1" t="s">
        <v>28</v>
      </c>
      <c r="D87" s="1" t="s">
        <v>81</v>
      </c>
      <c r="E87" s="1" t="s">
        <v>30</v>
      </c>
      <c r="F87" s="1"/>
      <c r="G87" s="1"/>
      <c r="H87" s="1" t="s">
        <v>393</v>
      </c>
      <c r="I87" s="1" t="s">
        <v>394</v>
      </c>
      <c r="J87" s="1" t="s">
        <v>210</v>
      </c>
      <c r="K87" s="1" t="s">
        <v>211</v>
      </c>
      <c r="L87" s="1" t="s">
        <v>55</v>
      </c>
      <c r="M87" s="1"/>
      <c r="N87" s="1"/>
      <c r="O87" s="2">
        <v>45589</v>
      </c>
      <c r="P87" s="2">
        <v>45589</v>
      </c>
      <c r="Q87" s="1" t="s">
        <v>77</v>
      </c>
      <c r="R87" s="1" t="s">
        <v>310</v>
      </c>
      <c r="S87" s="1"/>
      <c r="T87" s="1"/>
      <c r="U87" s="1"/>
      <c r="V87" s="1" t="s">
        <v>40</v>
      </c>
      <c r="W87" s="1" t="s">
        <v>39</v>
      </c>
      <c r="X87" s="1" t="s">
        <v>40</v>
      </c>
      <c r="Y87">
        <v>2</v>
      </c>
      <c r="Z87" s="1" t="s">
        <v>194</v>
      </c>
      <c r="AA87" s="1"/>
      <c r="AB87" s="1"/>
      <c r="AC87" s="1"/>
    </row>
    <row r="88" spans="1:29" x14ac:dyDescent="0.3">
      <c r="A88" s="1" t="s">
        <v>395</v>
      </c>
      <c r="B88">
        <v>89</v>
      </c>
      <c r="C88" s="1" t="s">
        <v>28</v>
      </c>
      <c r="D88" s="1" t="s">
        <v>65</v>
      </c>
      <c r="E88" s="1" t="s">
        <v>30</v>
      </c>
      <c r="F88" s="1"/>
      <c r="G88" s="1"/>
      <c r="H88" s="1" t="s">
        <v>396</v>
      </c>
      <c r="I88" s="1" t="s">
        <v>397</v>
      </c>
      <c r="J88" s="1" t="s">
        <v>68</v>
      </c>
      <c r="K88" s="1" t="s">
        <v>69</v>
      </c>
      <c r="L88" s="1" t="s">
        <v>55</v>
      </c>
      <c r="M88" s="1"/>
      <c r="N88" s="1"/>
      <c r="O88" s="2">
        <v>44958</v>
      </c>
      <c r="P88" s="2">
        <v>45312</v>
      </c>
      <c r="Q88" s="1" t="s">
        <v>193</v>
      </c>
      <c r="R88" s="1" t="s">
        <v>212</v>
      </c>
      <c r="S88" s="1"/>
      <c r="T88" s="1"/>
      <c r="U88" s="1"/>
      <c r="V88" s="1" t="s">
        <v>38</v>
      </c>
      <c r="W88" s="1" t="s">
        <v>39</v>
      </c>
      <c r="X88" s="1" t="s">
        <v>40</v>
      </c>
      <c r="Y88">
        <v>1</v>
      </c>
      <c r="Z88" s="1" t="s">
        <v>41</v>
      </c>
      <c r="AA88" s="1"/>
      <c r="AB88" s="1"/>
      <c r="AC88" s="1"/>
    </row>
    <row r="89" spans="1:29" x14ac:dyDescent="0.3">
      <c r="A89" s="1" t="s">
        <v>398</v>
      </c>
      <c r="B89">
        <v>90</v>
      </c>
      <c r="C89" s="1" t="s">
        <v>28</v>
      </c>
      <c r="D89" s="1" t="s">
        <v>29</v>
      </c>
      <c r="E89" s="1" t="s">
        <v>30</v>
      </c>
      <c r="F89" s="1"/>
      <c r="G89" s="1"/>
      <c r="H89" s="1" t="s">
        <v>399</v>
      </c>
      <c r="I89" s="1" t="s">
        <v>400</v>
      </c>
      <c r="J89" s="1" t="s">
        <v>33</v>
      </c>
      <c r="K89" s="1" t="s">
        <v>142</v>
      </c>
      <c r="L89" s="1" t="s">
        <v>55</v>
      </c>
      <c r="M89" s="1"/>
      <c r="N89" s="1"/>
      <c r="O89" s="2"/>
      <c r="P89" s="2"/>
      <c r="Q89" s="1" t="s">
        <v>46</v>
      </c>
      <c r="R89" s="1" t="s">
        <v>46</v>
      </c>
      <c r="S89" s="1" t="s">
        <v>46</v>
      </c>
      <c r="T89" s="1" t="s">
        <v>46</v>
      </c>
      <c r="U89" s="1"/>
      <c r="V89" s="1" t="s">
        <v>47</v>
      </c>
      <c r="W89" s="1" t="s">
        <v>39</v>
      </c>
      <c r="X89" s="1" t="s">
        <v>48</v>
      </c>
      <c r="Y89">
        <v>0</v>
      </c>
      <c r="Z89" s="1" t="s">
        <v>401</v>
      </c>
      <c r="AA89" s="1"/>
      <c r="AB89" s="1"/>
      <c r="AC89" s="1"/>
    </row>
    <row r="90" spans="1:29" x14ac:dyDescent="0.3">
      <c r="A90" s="1" t="s">
        <v>402</v>
      </c>
      <c r="B90">
        <v>91</v>
      </c>
      <c r="C90" s="1" t="s">
        <v>28</v>
      </c>
      <c r="D90" s="1" t="s">
        <v>50</v>
      </c>
      <c r="E90" s="1" t="s">
        <v>30</v>
      </c>
      <c r="F90" s="1"/>
      <c r="G90" s="1"/>
      <c r="H90" s="1" t="s">
        <v>403</v>
      </c>
      <c r="I90" s="1" t="s">
        <v>404</v>
      </c>
      <c r="J90" s="1" t="s">
        <v>405</v>
      </c>
      <c r="K90" s="1" t="s">
        <v>406</v>
      </c>
      <c r="L90" s="1" t="s">
        <v>55</v>
      </c>
      <c r="M90" s="1"/>
      <c r="N90" s="1"/>
      <c r="O90" s="2"/>
      <c r="P90" s="2"/>
      <c r="Q90" s="1"/>
      <c r="R90" s="1"/>
      <c r="S90" s="1"/>
      <c r="T90" s="1"/>
      <c r="U90" s="1"/>
      <c r="V90" s="1" t="s">
        <v>62</v>
      </c>
      <c r="W90" s="1" t="s">
        <v>39</v>
      </c>
      <c r="X90" s="1" t="s">
        <v>40</v>
      </c>
      <c r="Y90">
        <v>1</v>
      </c>
      <c r="Z90" s="1" t="s">
        <v>114</v>
      </c>
      <c r="AA90" s="1"/>
      <c r="AB90" s="1"/>
      <c r="AC90" s="1"/>
    </row>
    <row r="91" spans="1:29" x14ac:dyDescent="0.3">
      <c r="A91" s="1" t="s">
        <v>407</v>
      </c>
      <c r="B91">
        <v>92</v>
      </c>
      <c r="C91" s="1" t="s">
        <v>28</v>
      </c>
      <c r="D91" s="1" t="s">
        <v>50</v>
      </c>
      <c r="E91" s="1" t="s">
        <v>30</v>
      </c>
      <c r="F91" s="1"/>
      <c r="G91" s="1"/>
      <c r="H91" s="1" t="s">
        <v>408</v>
      </c>
      <c r="I91" s="1" t="s">
        <v>409</v>
      </c>
      <c r="J91" s="1" t="s">
        <v>53</v>
      </c>
      <c r="K91" s="1" t="s">
        <v>138</v>
      </c>
      <c r="L91" s="1" t="s">
        <v>55</v>
      </c>
      <c r="M91" s="1"/>
      <c r="N91" s="1"/>
      <c r="O91" s="2">
        <v>42996</v>
      </c>
      <c r="P91" s="2"/>
      <c r="Q91" s="1" t="s">
        <v>77</v>
      </c>
      <c r="R91" s="1" t="s">
        <v>56</v>
      </c>
      <c r="S91" s="1"/>
      <c r="T91" s="1" t="s">
        <v>78</v>
      </c>
      <c r="U91" s="1"/>
      <c r="V91" s="1" t="s">
        <v>39</v>
      </c>
      <c r="W91" s="1" t="s">
        <v>39</v>
      </c>
      <c r="X91" s="1" t="s">
        <v>48</v>
      </c>
      <c r="Y91">
        <v>0</v>
      </c>
      <c r="Z91" s="1"/>
      <c r="AA91" s="1"/>
      <c r="AB91" s="1"/>
      <c r="AC91" s="1"/>
    </row>
    <row r="92" spans="1:29" x14ac:dyDescent="0.3">
      <c r="A92" s="1" t="s">
        <v>410</v>
      </c>
      <c r="B92">
        <v>93</v>
      </c>
      <c r="C92" s="1" t="s">
        <v>28</v>
      </c>
      <c r="D92" s="1" t="s">
        <v>65</v>
      </c>
      <c r="E92" s="1" t="s">
        <v>199</v>
      </c>
      <c r="F92" s="1"/>
      <c r="G92" s="1"/>
      <c r="H92" s="1" t="s">
        <v>411</v>
      </c>
      <c r="I92" s="1" t="s">
        <v>412</v>
      </c>
      <c r="J92" s="1" t="s">
        <v>68</v>
      </c>
      <c r="K92" s="1" t="s">
        <v>413</v>
      </c>
      <c r="L92" s="1" t="s">
        <v>55</v>
      </c>
      <c r="M92" s="1"/>
      <c r="N92" s="1"/>
      <c r="O92" s="2">
        <v>42948</v>
      </c>
      <c r="P92" s="2"/>
      <c r="Q92" s="1" t="s">
        <v>100</v>
      </c>
      <c r="R92" s="1" t="s">
        <v>56</v>
      </c>
      <c r="S92" s="1"/>
      <c r="T92" s="1" t="s">
        <v>78</v>
      </c>
      <c r="U92" s="1"/>
      <c r="V92" s="1" t="s">
        <v>39</v>
      </c>
      <c r="W92" s="1" t="s">
        <v>39</v>
      </c>
      <c r="X92" s="1" t="s">
        <v>48</v>
      </c>
      <c r="Y92">
        <v>0</v>
      </c>
      <c r="Z92" s="1"/>
      <c r="AA92" s="1"/>
      <c r="AB92" s="1"/>
      <c r="AC92" s="1"/>
    </row>
    <row r="93" spans="1:29" x14ac:dyDescent="0.3">
      <c r="A93" s="1" t="s">
        <v>414</v>
      </c>
      <c r="B93">
        <v>94</v>
      </c>
      <c r="C93" s="1" t="s">
        <v>28</v>
      </c>
      <c r="D93" s="1" t="s">
        <v>65</v>
      </c>
      <c r="E93" s="1" t="s">
        <v>199</v>
      </c>
      <c r="F93" s="1"/>
      <c r="G93" s="1"/>
      <c r="H93" s="1" t="s">
        <v>415</v>
      </c>
      <c r="I93" s="1" t="s">
        <v>416</v>
      </c>
      <c r="J93" s="1" t="s">
        <v>158</v>
      </c>
      <c r="K93" s="1" t="s">
        <v>417</v>
      </c>
      <c r="L93" s="1" t="s">
        <v>55</v>
      </c>
      <c r="M93" s="1"/>
      <c r="N93" s="1"/>
      <c r="O93" s="2"/>
      <c r="P93" s="2"/>
      <c r="Q93" s="1" t="s">
        <v>46</v>
      </c>
      <c r="R93" s="1" t="s">
        <v>46</v>
      </c>
      <c r="S93" s="1" t="s">
        <v>46</v>
      </c>
      <c r="T93" s="1" t="s">
        <v>46</v>
      </c>
      <c r="U93" s="1"/>
      <c r="V93" s="1" t="s">
        <v>47</v>
      </c>
      <c r="W93" s="1" t="s">
        <v>39</v>
      </c>
      <c r="X93" s="1" t="s">
        <v>48</v>
      </c>
      <c r="Y93">
        <v>0</v>
      </c>
      <c r="Z93" s="1"/>
      <c r="AA93" s="1"/>
      <c r="AB93" s="1"/>
      <c r="AC93" s="1"/>
    </row>
    <row r="94" spans="1:29" x14ac:dyDescent="0.3">
      <c r="A94" s="1" t="s">
        <v>418</v>
      </c>
      <c r="B94">
        <v>95</v>
      </c>
      <c r="C94" s="1" t="s">
        <v>28</v>
      </c>
      <c r="D94" s="1" t="s">
        <v>65</v>
      </c>
      <c r="E94" s="1" t="s">
        <v>104</v>
      </c>
      <c r="F94" s="1"/>
      <c r="G94" s="1"/>
      <c r="H94" s="1" t="s">
        <v>419</v>
      </c>
      <c r="I94" s="1" t="s">
        <v>420</v>
      </c>
      <c r="J94" s="1" t="s">
        <v>68</v>
      </c>
      <c r="K94" s="1" t="s">
        <v>69</v>
      </c>
      <c r="L94" s="1" t="s">
        <v>55</v>
      </c>
      <c r="M94" s="1"/>
      <c r="N94" s="1"/>
      <c r="O94" s="2"/>
      <c r="P94" s="2"/>
      <c r="Q94" s="1" t="s">
        <v>77</v>
      </c>
      <c r="R94" s="1" t="s">
        <v>310</v>
      </c>
      <c r="S94" s="1" t="s">
        <v>37</v>
      </c>
      <c r="T94" s="1" t="s">
        <v>37</v>
      </c>
      <c r="U94" s="1"/>
      <c r="V94" s="1" t="s">
        <v>38</v>
      </c>
      <c r="W94" s="1" t="s">
        <v>39</v>
      </c>
      <c r="X94" s="1" t="s">
        <v>40</v>
      </c>
      <c r="Y94">
        <v>1</v>
      </c>
      <c r="Z94" s="1" t="s">
        <v>41</v>
      </c>
      <c r="AA94" s="1"/>
      <c r="AB94" s="1"/>
      <c r="AC94" s="1"/>
    </row>
    <row r="95" spans="1:29" x14ac:dyDescent="0.3">
      <c r="A95" s="1" t="s">
        <v>421</v>
      </c>
      <c r="B95">
        <v>96</v>
      </c>
      <c r="C95" s="1" t="s">
        <v>28</v>
      </c>
      <c r="D95" s="1" t="s">
        <v>29</v>
      </c>
      <c r="E95" s="1" t="s">
        <v>104</v>
      </c>
      <c r="F95" s="1"/>
      <c r="G95" s="1"/>
      <c r="H95" s="1" t="s">
        <v>422</v>
      </c>
      <c r="I95" s="1" t="s">
        <v>423</v>
      </c>
      <c r="J95" s="1" t="s">
        <v>90</v>
      </c>
      <c r="K95" s="1"/>
      <c r="L95" s="1" t="s">
        <v>55</v>
      </c>
      <c r="M95" s="1"/>
      <c r="N95" s="1"/>
      <c r="O95" s="2">
        <v>44613</v>
      </c>
      <c r="P95" s="2"/>
      <c r="Q95" s="1" t="s">
        <v>212</v>
      </c>
      <c r="R95" s="1" t="s">
        <v>212</v>
      </c>
      <c r="S95" s="1"/>
      <c r="T95" s="1" t="s">
        <v>212</v>
      </c>
      <c r="U95" s="1"/>
      <c r="V95" s="1" t="s">
        <v>38</v>
      </c>
      <c r="W95" s="1" t="s">
        <v>39</v>
      </c>
      <c r="X95" s="1" t="s">
        <v>40</v>
      </c>
      <c r="Y95">
        <v>1</v>
      </c>
      <c r="Z95" s="1" t="s">
        <v>108</v>
      </c>
      <c r="AA95" s="1"/>
      <c r="AB95" s="1"/>
      <c r="AC95" s="1"/>
    </row>
    <row r="96" spans="1:29" x14ac:dyDescent="0.3">
      <c r="A96" s="1" t="s">
        <v>424</v>
      </c>
      <c r="B96">
        <v>97</v>
      </c>
      <c r="C96" s="1" t="s">
        <v>28</v>
      </c>
      <c r="D96" s="1" t="s">
        <v>120</v>
      </c>
      <c r="E96" s="1" t="s">
        <v>30</v>
      </c>
      <c r="F96" s="1"/>
      <c r="G96" s="1"/>
      <c r="H96" s="1" t="s">
        <v>425</v>
      </c>
      <c r="I96" s="1" t="s">
        <v>426</v>
      </c>
      <c r="J96" s="1" t="s">
        <v>303</v>
      </c>
      <c r="K96" s="1" t="s">
        <v>427</v>
      </c>
      <c r="L96" s="1" t="s">
        <v>55</v>
      </c>
      <c r="M96" s="1"/>
      <c r="N96" s="1"/>
      <c r="O96" s="2">
        <v>46023</v>
      </c>
      <c r="P96" s="2"/>
      <c r="Q96" s="1" t="s">
        <v>77</v>
      </c>
      <c r="R96" s="1" t="s">
        <v>310</v>
      </c>
      <c r="S96" s="1"/>
      <c r="T96" s="1" t="s">
        <v>78</v>
      </c>
      <c r="U96" s="1"/>
      <c r="V96" s="1" t="s">
        <v>39</v>
      </c>
      <c r="W96" s="1" t="s">
        <v>39</v>
      </c>
      <c r="X96" s="1" t="s">
        <v>48</v>
      </c>
      <c r="Y96">
        <v>0</v>
      </c>
      <c r="Z96" s="1"/>
      <c r="AA96" s="1"/>
      <c r="AB96" s="1"/>
      <c r="AC96" s="1"/>
    </row>
    <row r="97" spans="1:29" x14ac:dyDescent="0.3">
      <c r="A97" s="1" t="s">
        <v>428</v>
      </c>
      <c r="B97">
        <v>98</v>
      </c>
      <c r="C97" s="1" t="s">
        <v>28</v>
      </c>
      <c r="D97" s="1" t="s">
        <v>92</v>
      </c>
      <c r="E97" s="1" t="s">
        <v>104</v>
      </c>
      <c r="F97" s="1"/>
      <c r="G97" s="1"/>
      <c r="H97" s="1" t="s">
        <v>429</v>
      </c>
      <c r="I97" s="1" t="s">
        <v>430</v>
      </c>
      <c r="J97" s="1" t="s">
        <v>55</v>
      </c>
      <c r="K97" s="1"/>
      <c r="L97" s="1" t="s">
        <v>55</v>
      </c>
      <c r="M97" s="1"/>
      <c r="N97" s="1"/>
      <c r="O97" s="2">
        <v>46204</v>
      </c>
      <c r="P97" s="2">
        <v>47299</v>
      </c>
      <c r="Q97" s="1" t="s">
        <v>193</v>
      </c>
      <c r="R97" s="1" t="s">
        <v>56</v>
      </c>
      <c r="S97" s="1"/>
      <c r="T97" s="1"/>
      <c r="U97" s="1"/>
      <c r="V97" s="1" t="s">
        <v>39</v>
      </c>
      <c r="W97" s="1" t="s">
        <v>39</v>
      </c>
      <c r="X97" s="1" t="s">
        <v>48</v>
      </c>
      <c r="Y97">
        <v>0</v>
      </c>
      <c r="Z97" s="1" t="s">
        <v>79</v>
      </c>
      <c r="AA97" s="1"/>
      <c r="AB97" s="1"/>
      <c r="AC97" s="1"/>
    </row>
    <row r="98" spans="1:29" x14ac:dyDescent="0.3">
      <c r="A98" s="1" t="s">
        <v>431</v>
      </c>
      <c r="B98">
        <v>99</v>
      </c>
      <c r="C98" s="1" t="s">
        <v>28</v>
      </c>
      <c r="D98" s="1" t="s">
        <v>65</v>
      </c>
      <c r="E98" s="1" t="s">
        <v>104</v>
      </c>
      <c r="F98" s="1"/>
      <c r="G98" s="1"/>
      <c r="H98" s="1" t="s">
        <v>432</v>
      </c>
      <c r="I98" s="1" t="s">
        <v>433</v>
      </c>
      <c r="J98" s="1" t="s">
        <v>68</v>
      </c>
      <c r="K98" s="1" t="s">
        <v>69</v>
      </c>
      <c r="L98" s="1" t="s">
        <v>55</v>
      </c>
      <c r="M98" s="1"/>
      <c r="N98" s="1"/>
      <c r="O98" s="2">
        <v>42583</v>
      </c>
      <c r="P98" s="2"/>
      <c r="Q98" s="1" t="s">
        <v>100</v>
      </c>
      <c r="R98" s="1" t="s">
        <v>56</v>
      </c>
      <c r="S98" s="1"/>
      <c r="T98" s="1" t="s">
        <v>434</v>
      </c>
      <c r="U98" s="1"/>
      <c r="V98" s="1" t="s">
        <v>39</v>
      </c>
      <c r="W98" s="1" t="s">
        <v>39</v>
      </c>
      <c r="X98" s="1" t="s">
        <v>48</v>
      </c>
      <c r="Y98">
        <v>0</v>
      </c>
      <c r="Z98" s="1"/>
      <c r="AA98" s="1"/>
      <c r="AB98" s="1"/>
      <c r="AC98" s="1"/>
    </row>
    <row r="99" spans="1:29" x14ac:dyDescent="0.3">
      <c r="A99" s="1" t="s">
        <v>435</v>
      </c>
      <c r="B99">
        <v>100</v>
      </c>
      <c r="C99" s="1" t="s">
        <v>28</v>
      </c>
      <c r="D99" s="1" t="s">
        <v>103</v>
      </c>
      <c r="E99" s="1" t="s">
        <v>199</v>
      </c>
      <c r="F99" s="1"/>
      <c r="G99" s="1"/>
      <c r="H99" s="1" t="s">
        <v>436</v>
      </c>
      <c r="I99" s="1" t="s">
        <v>437</v>
      </c>
      <c r="J99" s="1" t="s">
        <v>107</v>
      </c>
      <c r="K99" s="1"/>
      <c r="L99" s="1" t="s">
        <v>35</v>
      </c>
      <c r="M99" s="1"/>
      <c r="N99" s="1"/>
      <c r="O99" s="2"/>
      <c r="P99" s="2"/>
      <c r="Q99" s="1" t="s">
        <v>46</v>
      </c>
      <c r="R99" s="1" t="s">
        <v>46</v>
      </c>
      <c r="S99" s="1" t="s">
        <v>46</v>
      </c>
      <c r="T99" s="1" t="s">
        <v>46</v>
      </c>
      <c r="U99" s="1"/>
      <c r="V99" s="1" t="s">
        <v>47</v>
      </c>
      <c r="W99" s="1" t="s">
        <v>39</v>
      </c>
      <c r="X99" s="1" t="s">
        <v>48</v>
      </c>
      <c r="Y99">
        <v>0</v>
      </c>
      <c r="Z99" s="1" t="s">
        <v>79</v>
      </c>
      <c r="AA99" s="1"/>
      <c r="AB99" s="1"/>
      <c r="AC99" s="1"/>
    </row>
    <row r="100" spans="1:29" x14ac:dyDescent="0.3">
      <c r="A100" s="1" t="s">
        <v>438</v>
      </c>
      <c r="B100">
        <v>101</v>
      </c>
      <c r="C100" s="1" t="s">
        <v>28</v>
      </c>
      <c r="D100" s="1" t="s">
        <v>65</v>
      </c>
      <c r="E100" s="1" t="s">
        <v>199</v>
      </c>
      <c r="F100" s="1"/>
      <c r="G100" s="1"/>
      <c r="H100" s="1" t="s">
        <v>439</v>
      </c>
      <c r="I100" s="1" t="s">
        <v>440</v>
      </c>
      <c r="J100" s="1" t="s">
        <v>68</v>
      </c>
      <c r="K100" s="1" t="s">
        <v>413</v>
      </c>
      <c r="L100" s="1" t="s">
        <v>55</v>
      </c>
      <c r="M100" s="1"/>
      <c r="N100" s="1"/>
      <c r="O100" s="2">
        <v>45658</v>
      </c>
      <c r="P100" s="2">
        <v>47299</v>
      </c>
      <c r="Q100" s="1" t="s">
        <v>77</v>
      </c>
      <c r="R100" s="1" t="s">
        <v>71</v>
      </c>
      <c r="S100" s="1"/>
      <c r="T100" s="1"/>
      <c r="U100" s="1"/>
      <c r="V100" s="1" t="s">
        <v>39</v>
      </c>
      <c r="W100" s="1" t="s">
        <v>39</v>
      </c>
      <c r="X100" s="1" t="s">
        <v>48</v>
      </c>
      <c r="Y100">
        <v>0</v>
      </c>
      <c r="Z100" s="1"/>
      <c r="AA100" s="1"/>
      <c r="AB100" s="1"/>
      <c r="AC100" s="1"/>
    </row>
    <row r="101" spans="1:29" x14ac:dyDescent="0.3">
      <c r="A101" s="1" t="s">
        <v>441</v>
      </c>
      <c r="B101">
        <v>102</v>
      </c>
      <c r="C101" s="1" t="s">
        <v>28</v>
      </c>
      <c r="D101" s="1" t="s">
        <v>120</v>
      </c>
      <c r="E101" s="1" t="s">
        <v>30</v>
      </c>
      <c r="F101" s="1"/>
      <c r="G101" s="1"/>
      <c r="H101" s="1" t="s">
        <v>442</v>
      </c>
      <c r="I101" s="1" t="s">
        <v>443</v>
      </c>
      <c r="J101" s="1" t="s">
        <v>303</v>
      </c>
      <c r="K101" s="1" t="s">
        <v>427</v>
      </c>
      <c r="L101" s="1" t="s">
        <v>61</v>
      </c>
      <c r="M101" s="1"/>
      <c r="N101" s="1"/>
      <c r="O101" s="2"/>
      <c r="P101" s="2"/>
      <c r="Q101" s="1"/>
      <c r="R101" s="1"/>
      <c r="S101" s="1"/>
      <c r="T101" s="1"/>
      <c r="U101" s="1"/>
      <c r="V101" s="1" t="s">
        <v>62</v>
      </c>
      <c r="W101" s="1" t="s">
        <v>39</v>
      </c>
      <c r="X101" s="1" t="s">
        <v>40</v>
      </c>
      <c r="Y101">
        <v>1</v>
      </c>
      <c r="Z101" s="1" t="s">
        <v>114</v>
      </c>
      <c r="AA101" s="1"/>
      <c r="AB101" s="1"/>
      <c r="AC101" s="1"/>
    </row>
    <row r="102" spans="1:29" x14ac:dyDescent="0.3">
      <c r="A102" s="1" t="s">
        <v>444</v>
      </c>
      <c r="B102">
        <v>103</v>
      </c>
      <c r="C102" s="1" t="s">
        <v>28</v>
      </c>
      <c r="D102" s="1" t="s">
        <v>29</v>
      </c>
      <c r="E102" s="1" t="s">
        <v>104</v>
      </c>
      <c r="F102" s="1"/>
      <c r="G102" s="1"/>
      <c r="H102" s="1" t="s">
        <v>445</v>
      </c>
      <c r="I102" s="1" t="s">
        <v>446</v>
      </c>
      <c r="J102" s="1" t="s">
        <v>33</v>
      </c>
      <c r="K102" s="1" t="s">
        <v>447</v>
      </c>
      <c r="L102" s="1" t="s">
        <v>55</v>
      </c>
      <c r="M102" s="1"/>
      <c r="N102" s="1"/>
      <c r="O102" s="2">
        <v>42675</v>
      </c>
      <c r="P102" s="2">
        <v>43039</v>
      </c>
      <c r="Q102" s="1" t="s">
        <v>77</v>
      </c>
      <c r="R102" s="1" t="s">
        <v>310</v>
      </c>
      <c r="S102" s="1"/>
      <c r="T102" s="1"/>
      <c r="U102" s="1"/>
      <c r="V102" s="1" t="s">
        <v>39</v>
      </c>
      <c r="W102" s="1" t="s">
        <v>39</v>
      </c>
      <c r="X102" s="1" t="s">
        <v>48</v>
      </c>
      <c r="Y102">
        <v>0</v>
      </c>
      <c r="Z102" s="1"/>
      <c r="AA102" s="1"/>
      <c r="AB102" s="1"/>
      <c r="AC102" s="1"/>
    </row>
    <row r="103" spans="1:29" x14ac:dyDescent="0.3">
      <c r="A103" s="1" t="s">
        <v>448</v>
      </c>
      <c r="B103">
        <v>104</v>
      </c>
      <c r="C103" s="1" t="s">
        <v>28</v>
      </c>
      <c r="D103" s="1" t="s">
        <v>29</v>
      </c>
      <c r="E103" s="1" t="s">
        <v>104</v>
      </c>
      <c r="F103" s="1"/>
      <c r="G103" s="1"/>
      <c r="H103" s="1" t="s">
        <v>449</v>
      </c>
      <c r="I103" s="1" t="s">
        <v>450</v>
      </c>
      <c r="J103" s="1" t="s">
        <v>90</v>
      </c>
      <c r="K103" s="1"/>
      <c r="L103" s="1" t="s">
        <v>35</v>
      </c>
      <c r="M103" s="1"/>
      <c r="N103" s="1"/>
      <c r="O103" s="2"/>
      <c r="P103" s="2">
        <v>46081</v>
      </c>
      <c r="Q103" s="1" t="s">
        <v>193</v>
      </c>
      <c r="R103" s="1" t="s">
        <v>193</v>
      </c>
      <c r="S103" s="1"/>
      <c r="T103" s="1"/>
      <c r="U103" s="1" t="s">
        <v>451</v>
      </c>
      <c r="V103" s="1" t="s">
        <v>40</v>
      </c>
      <c r="W103" s="1" t="s">
        <v>39</v>
      </c>
      <c r="X103" s="1" t="s">
        <v>40</v>
      </c>
      <c r="Y103">
        <v>2</v>
      </c>
      <c r="Z103" s="1" t="s">
        <v>452</v>
      </c>
      <c r="AA103" s="1"/>
      <c r="AB103" s="1"/>
      <c r="AC103" s="1"/>
    </row>
    <row r="104" spans="1:29" x14ac:dyDescent="0.3">
      <c r="A104" s="1" t="s">
        <v>453</v>
      </c>
      <c r="B104">
        <v>105</v>
      </c>
      <c r="C104" s="1" t="s">
        <v>28</v>
      </c>
      <c r="D104" s="1" t="s">
        <v>103</v>
      </c>
      <c r="E104" s="1" t="s">
        <v>199</v>
      </c>
      <c r="F104" s="1"/>
      <c r="G104" s="1"/>
      <c r="H104" s="1" t="s">
        <v>454</v>
      </c>
      <c r="I104" s="1" t="s">
        <v>455</v>
      </c>
      <c r="J104" s="1" t="s">
        <v>107</v>
      </c>
      <c r="K104" s="1"/>
      <c r="L104" s="1" t="s">
        <v>35</v>
      </c>
      <c r="M104" s="1"/>
      <c r="N104" s="1"/>
      <c r="O104" s="2"/>
      <c r="P104" s="2"/>
      <c r="Q104" s="1" t="s">
        <v>46</v>
      </c>
      <c r="R104" s="1" t="s">
        <v>46</v>
      </c>
      <c r="S104" s="1" t="s">
        <v>46</v>
      </c>
      <c r="T104" s="1" t="s">
        <v>46</v>
      </c>
      <c r="U104" s="1"/>
      <c r="V104" s="1" t="s">
        <v>47</v>
      </c>
      <c r="W104" s="1" t="s">
        <v>39</v>
      </c>
      <c r="X104" s="1" t="s">
        <v>48</v>
      </c>
      <c r="Y104">
        <v>0</v>
      </c>
      <c r="Z104" s="1" t="s">
        <v>79</v>
      </c>
      <c r="AA104" s="1"/>
      <c r="AB104" s="1"/>
      <c r="AC104" s="1"/>
    </row>
    <row r="105" spans="1:29" x14ac:dyDescent="0.3">
      <c r="A105" s="1" t="s">
        <v>456</v>
      </c>
      <c r="B105">
        <v>106</v>
      </c>
      <c r="C105" s="1" t="s">
        <v>28</v>
      </c>
      <c r="D105" s="1" t="s">
        <v>50</v>
      </c>
      <c r="E105" s="1" t="s">
        <v>104</v>
      </c>
      <c r="F105" s="1"/>
      <c r="G105" s="1"/>
      <c r="H105" s="1" t="s">
        <v>457</v>
      </c>
      <c r="I105" s="1" t="s">
        <v>458</v>
      </c>
      <c r="J105" s="1" t="s">
        <v>98</v>
      </c>
      <c r="K105" s="1" t="s">
        <v>99</v>
      </c>
      <c r="L105" s="1" t="s">
        <v>55</v>
      </c>
      <c r="M105" s="1"/>
      <c r="N105" s="1"/>
      <c r="O105" s="2">
        <v>43862</v>
      </c>
      <c r="P105" s="2"/>
      <c r="Q105" s="1" t="s">
        <v>459</v>
      </c>
      <c r="R105" s="1" t="s">
        <v>460</v>
      </c>
      <c r="S105" s="1"/>
      <c r="T105" s="1" t="s">
        <v>461</v>
      </c>
      <c r="U105" s="1"/>
      <c r="V105" s="1" t="s">
        <v>39</v>
      </c>
      <c r="W105" s="1" t="s">
        <v>39</v>
      </c>
      <c r="X105" s="1" t="s">
        <v>48</v>
      </c>
      <c r="Y105">
        <v>0</v>
      </c>
      <c r="Z105" s="1"/>
      <c r="AA105" s="1"/>
      <c r="AB105" s="1"/>
      <c r="AC105" s="1"/>
    </row>
    <row r="106" spans="1:29" x14ac:dyDescent="0.3">
      <c r="A106" s="1" t="s">
        <v>462</v>
      </c>
      <c r="B106">
        <v>107</v>
      </c>
      <c r="C106" s="1" t="s">
        <v>28</v>
      </c>
      <c r="D106" s="1" t="s">
        <v>29</v>
      </c>
      <c r="E106" s="1" t="s">
        <v>199</v>
      </c>
      <c r="F106" s="1"/>
      <c r="G106" s="1"/>
      <c r="H106" s="1" t="s">
        <v>463</v>
      </c>
      <c r="I106" s="1" t="s">
        <v>464</v>
      </c>
      <c r="J106" s="1" t="s">
        <v>33</v>
      </c>
      <c r="K106" s="1" t="s">
        <v>172</v>
      </c>
      <c r="L106" s="1" t="s">
        <v>35</v>
      </c>
      <c r="M106" s="1"/>
      <c r="N106" s="1"/>
      <c r="O106" s="2"/>
      <c r="P106" s="2"/>
      <c r="Q106" s="1" t="s">
        <v>46</v>
      </c>
      <c r="R106" s="1" t="s">
        <v>46</v>
      </c>
      <c r="S106" s="1" t="s">
        <v>46</v>
      </c>
      <c r="T106" s="1" t="s">
        <v>46</v>
      </c>
      <c r="U106" s="1"/>
      <c r="V106" s="1" t="s">
        <v>47</v>
      </c>
      <c r="W106" s="1" t="s">
        <v>39</v>
      </c>
      <c r="X106" s="1" t="s">
        <v>48</v>
      </c>
      <c r="Y106">
        <v>0</v>
      </c>
      <c r="Z106" s="1"/>
      <c r="AA106" s="1"/>
      <c r="AB106" s="1"/>
      <c r="AC106" s="1"/>
    </row>
    <row r="107" spans="1:29" x14ac:dyDescent="0.3">
      <c r="A107" s="1" t="s">
        <v>465</v>
      </c>
      <c r="B107">
        <v>108</v>
      </c>
      <c r="C107" s="1" t="s">
        <v>28</v>
      </c>
      <c r="D107" s="1" t="s">
        <v>29</v>
      </c>
      <c r="E107" s="1" t="s">
        <v>199</v>
      </c>
      <c r="F107" s="1"/>
      <c r="G107" s="1"/>
      <c r="H107" s="1" t="s">
        <v>466</v>
      </c>
      <c r="I107" s="1" t="s">
        <v>467</v>
      </c>
      <c r="J107" s="1" t="s">
        <v>90</v>
      </c>
      <c r="K107" s="1"/>
      <c r="L107" s="1" t="s">
        <v>35</v>
      </c>
      <c r="M107" s="1"/>
      <c r="N107" s="1"/>
      <c r="O107" s="2"/>
      <c r="P107" s="2"/>
      <c r="Q107" s="1" t="s">
        <v>46</v>
      </c>
      <c r="R107" s="1" t="s">
        <v>46</v>
      </c>
      <c r="S107" s="1" t="s">
        <v>46</v>
      </c>
      <c r="T107" s="1" t="s">
        <v>46</v>
      </c>
      <c r="U107" s="1"/>
      <c r="V107" s="1" t="s">
        <v>47</v>
      </c>
      <c r="W107" s="1" t="s">
        <v>39</v>
      </c>
      <c r="X107" s="1" t="s">
        <v>48</v>
      </c>
      <c r="Y107">
        <v>0</v>
      </c>
      <c r="Z107" s="1" t="s">
        <v>79</v>
      </c>
      <c r="AA107" s="1"/>
      <c r="AB107" s="1"/>
      <c r="AC107" s="1"/>
    </row>
    <row r="108" spans="1:29" x14ac:dyDescent="0.3">
      <c r="A108" s="1" t="s">
        <v>468</v>
      </c>
      <c r="B108">
        <v>109</v>
      </c>
      <c r="C108" s="1" t="s">
        <v>28</v>
      </c>
      <c r="D108" s="1" t="s">
        <v>120</v>
      </c>
      <c r="E108" s="1" t="s">
        <v>30</v>
      </c>
      <c r="F108" s="1"/>
      <c r="G108" s="1"/>
      <c r="H108" s="1" t="s">
        <v>469</v>
      </c>
      <c r="I108" s="1" t="s">
        <v>470</v>
      </c>
      <c r="J108" s="1" t="s">
        <v>303</v>
      </c>
      <c r="K108" s="1" t="s">
        <v>427</v>
      </c>
      <c r="L108" s="1" t="s">
        <v>61</v>
      </c>
      <c r="M108" s="1"/>
      <c r="N108" s="1"/>
      <c r="O108" s="2"/>
      <c r="P108" s="2"/>
      <c r="Q108" s="1"/>
      <c r="R108" s="1"/>
      <c r="S108" s="1"/>
      <c r="T108" s="1"/>
      <c r="U108" s="1"/>
      <c r="V108" s="1" t="s">
        <v>62</v>
      </c>
      <c r="W108" s="1" t="s">
        <v>39</v>
      </c>
      <c r="X108" s="1" t="s">
        <v>40</v>
      </c>
      <c r="Y108">
        <v>1</v>
      </c>
      <c r="Z108" s="1" t="s">
        <v>114</v>
      </c>
      <c r="AA108" s="1"/>
      <c r="AB108" s="1"/>
      <c r="AC108" s="1"/>
    </row>
    <row r="109" spans="1:29" x14ac:dyDescent="0.3">
      <c r="A109" s="1" t="s">
        <v>471</v>
      </c>
      <c r="B109">
        <v>110</v>
      </c>
      <c r="C109" s="1" t="s">
        <v>28</v>
      </c>
      <c r="D109" s="1" t="s">
        <v>103</v>
      </c>
      <c r="E109" s="1" t="s">
        <v>199</v>
      </c>
      <c r="F109" s="1"/>
      <c r="G109" s="1"/>
      <c r="H109" s="1" t="s">
        <v>472</v>
      </c>
      <c r="I109" s="1" t="s">
        <v>473</v>
      </c>
      <c r="J109" s="1" t="s">
        <v>107</v>
      </c>
      <c r="K109" s="1"/>
      <c r="L109" s="1" t="s">
        <v>55</v>
      </c>
      <c r="M109" s="1"/>
      <c r="N109" s="1"/>
      <c r="O109" s="2"/>
      <c r="P109" s="2"/>
      <c r="Q109" s="1" t="s">
        <v>46</v>
      </c>
      <c r="R109" s="1" t="s">
        <v>46</v>
      </c>
      <c r="S109" s="1" t="s">
        <v>46</v>
      </c>
      <c r="T109" s="1" t="s">
        <v>46</v>
      </c>
      <c r="U109" s="1"/>
      <c r="V109" s="1" t="s">
        <v>47</v>
      </c>
      <c r="W109" s="1" t="s">
        <v>39</v>
      </c>
      <c r="X109" s="1" t="s">
        <v>48</v>
      </c>
      <c r="Y109">
        <v>0</v>
      </c>
      <c r="Z109" s="1" t="s">
        <v>79</v>
      </c>
      <c r="AA109" s="1"/>
      <c r="AB109" s="1"/>
      <c r="AC109" s="1"/>
    </row>
    <row r="110" spans="1:29" x14ac:dyDescent="0.3">
      <c r="A110" s="1" t="s">
        <v>474</v>
      </c>
      <c r="B110">
        <v>111</v>
      </c>
      <c r="C110" s="1" t="s">
        <v>28</v>
      </c>
      <c r="D110" s="1" t="s">
        <v>65</v>
      </c>
      <c r="E110" s="1" t="s">
        <v>199</v>
      </c>
      <c r="F110" s="1"/>
      <c r="G110" s="1"/>
      <c r="H110" s="1" t="s">
        <v>475</v>
      </c>
      <c r="I110" s="1" t="s">
        <v>476</v>
      </c>
      <c r="J110" s="1" t="s">
        <v>68</v>
      </c>
      <c r="K110" s="1" t="s">
        <v>69</v>
      </c>
      <c r="L110" s="1" t="s">
        <v>55</v>
      </c>
      <c r="M110" s="1"/>
      <c r="N110" s="1"/>
      <c r="O110" s="2">
        <v>45809</v>
      </c>
      <c r="P110" s="2">
        <v>46692</v>
      </c>
      <c r="Q110" s="1" t="s">
        <v>77</v>
      </c>
      <c r="R110" s="1" t="s">
        <v>71</v>
      </c>
      <c r="S110" s="1"/>
      <c r="T110" s="1"/>
      <c r="U110" s="1"/>
      <c r="V110" s="1" t="s">
        <v>39</v>
      </c>
      <c r="W110" s="1" t="s">
        <v>39</v>
      </c>
      <c r="X110" s="1" t="s">
        <v>48</v>
      </c>
      <c r="Y110">
        <v>0</v>
      </c>
      <c r="Z110" s="1"/>
      <c r="AA110" s="1"/>
      <c r="AB110" s="1"/>
      <c r="AC110" s="1"/>
    </row>
    <row r="111" spans="1:29" x14ac:dyDescent="0.3">
      <c r="A111" s="1" t="s">
        <v>477</v>
      </c>
      <c r="B111">
        <v>112</v>
      </c>
      <c r="C111" s="1" t="s">
        <v>28</v>
      </c>
      <c r="D111" s="1" t="s">
        <v>92</v>
      </c>
      <c r="E111" s="1" t="s">
        <v>30</v>
      </c>
      <c r="F111" s="1"/>
      <c r="G111" s="1"/>
      <c r="H111" s="1" t="s">
        <v>478</v>
      </c>
      <c r="I111" s="1" t="s">
        <v>479</v>
      </c>
      <c r="J111" s="1" t="s">
        <v>55</v>
      </c>
      <c r="K111" s="1"/>
      <c r="L111" s="1" t="s">
        <v>55</v>
      </c>
      <c r="M111" s="1"/>
      <c r="N111" s="1"/>
      <c r="O111" s="2"/>
      <c r="P111" s="2"/>
      <c r="Q111" s="1" t="s">
        <v>480</v>
      </c>
      <c r="R111" s="1" t="s">
        <v>480</v>
      </c>
      <c r="S111" s="1" t="s">
        <v>480</v>
      </c>
      <c r="T111" s="1" t="s">
        <v>480</v>
      </c>
      <c r="U111" s="1"/>
      <c r="V111" s="1" t="s">
        <v>62</v>
      </c>
      <c r="W111" s="1" t="s">
        <v>39</v>
      </c>
      <c r="X111" s="1" t="s">
        <v>40</v>
      </c>
      <c r="Y111">
        <v>1</v>
      </c>
      <c r="Z111" s="1" t="s">
        <v>63</v>
      </c>
      <c r="AA111" s="1"/>
      <c r="AB111" s="1"/>
      <c r="AC111" s="1"/>
    </row>
    <row r="112" spans="1:29" x14ac:dyDescent="0.3">
      <c r="A112" s="1" t="s">
        <v>481</v>
      </c>
      <c r="B112">
        <v>113</v>
      </c>
      <c r="C112" s="1" t="s">
        <v>28</v>
      </c>
      <c r="D112" s="1" t="s">
        <v>65</v>
      </c>
      <c r="E112" s="1" t="s">
        <v>104</v>
      </c>
      <c r="F112" s="1"/>
      <c r="G112" s="1"/>
      <c r="H112" s="1" t="s">
        <v>482</v>
      </c>
      <c r="I112" s="1" t="s">
        <v>483</v>
      </c>
      <c r="J112" s="1" t="s">
        <v>68</v>
      </c>
      <c r="K112" s="1" t="s">
        <v>69</v>
      </c>
      <c r="L112" s="1" t="s">
        <v>55</v>
      </c>
      <c r="M112" s="1"/>
      <c r="N112" s="1"/>
      <c r="O112" s="2"/>
      <c r="P112" s="2"/>
      <c r="Q112" s="1" t="s">
        <v>46</v>
      </c>
      <c r="R112" s="1" t="s">
        <v>46</v>
      </c>
      <c r="S112" s="1" t="s">
        <v>46</v>
      </c>
      <c r="T112" s="1" t="s">
        <v>46</v>
      </c>
      <c r="U112" s="1"/>
      <c r="V112" s="1" t="s">
        <v>47</v>
      </c>
      <c r="W112" s="1" t="s">
        <v>39</v>
      </c>
      <c r="X112" s="1" t="s">
        <v>48</v>
      </c>
      <c r="Y112">
        <v>0</v>
      </c>
      <c r="Z112" s="1"/>
      <c r="AA112" s="1"/>
      <c r="AB112" s="1"/>
      <c r="AC112" s="1"/>
    </row>
    <row r="113" spans="1:29" x14ac:dyDescent="0.3">
      <c r="A113" s="1" t="s">
        <v>484</v>
      </c>
      <c r="B113">
        <v>114</v>
      </c>
      <c r="C113" s="1" t="s">
        <v>28</v>
      </c>
      <c r="D113" s="1" t="s">
        <v>120</v>
      </c>
      <c r="E113" s="1" t="s">
        <v>30</v>
      </c>
      <c r="F113" s="1"/>
      <c r="G113" s="1"/>
      <c r="H113" s="1" t="s">
        <v>485</v>
      </c>
      <c r="I113" s="1" t="s">
        <v>486</v>
      </c>
      <c r="J113" s="1" t="s">
        <v>303</v>
      </c>
      <c r="K113" s="1" t="s">
        <v>427</v>
      </c>
      <c r="L113" s="1" t="s">
        <v>61</v>
      </c>
      <c r="M113" s="1"/>
      <c r="N113" s="1"/>
      <c r="O113" s="2"/>
      <c r="P113" s="2"/>
      <c r="Q113" s="1"/>
      <c r="R113" s="1"/>
      <c r="S113" s="1"/>
      <c r="T113" s="1"/>
      <c r="U113" s="1"/>
      <c r="V113" s="1" t="s">
        <v>62</v>
      </c>
      <c r="W113" s="1" t="s">
        <v>39</v>
      </c>
      <c r="X113" s="1" t="s">
        <v>40</v>
      </c>
      <c r="Y113">
        <v>1</v>
      </c>
      <c r="Z113" s="1" t="s">
        <v>114</v>
      </c>
      <c r="AA113" s="1"/>
      <c r="AB113" s="1"/>
      <c r="AC113" s="1"/>
    </row>
    <row r="114" spans="1:29" x14ac:dyDescent="0.3">
      <c r="A114" s="1" t="s">
        <v>487</v>
      </c>
      <c r="B114">
        <v>115</v>
      </c>
      <c r="C114" s="1" t="s">
        <v>28</v>
      </c>
      <c r="D114" s="1" t="s">
        <v>29</v>
      </c>
      <c r="E114" s="1" t="s">
        <v>199</v>
      </c>
      <c r="F114" s="1"/>
      <c r="G114" s="1"/>
      <c r="H114" s="1" t="s">
        <v>488</v>
      </c>
      <c r="I114" s="1" t="s">
        <v>489</v>
      </c>
      <c r="J114" s="1" t="s">
        <v>33</v>
      </c>
      <c r="K114" s="1" t="s">
        <v>280</v>
      </c>
      <c r="L114" s="1" t="s">
        <v>35</v>
      </c>
      <c r="M114" s="1"/>
      <c r="N114" s="1"/>
      <c r="O114" s="2">
        <v>44440</v>
      </c>
      <c r="P114" s="2">
        <v>45535</v>
      </c>
      <c r="Q114" s="1" t="s">
        <v>77</v>
      </c>
      <c r="R114" s="1" t="s">
        <v>56</v>
      </c>
      <c r="S114" s="1"/>
      <c r="T114" s="1"/>
      <c r="U114" s="1"/>
      <c r="V114" s="1" t="s">
        <v>39</v>
      </c>
      <c r="W114" s="1" t="s">
        <v>39</v>
      </c>
      <c r="X114" s="1" t="s">
        <v>48</v>
      </c>
      <c r="Y114">
        <v>0</v>
      </c>
      <c r="Z114" s="1"/>
      <c r="AA114" s="1"/>
      <c r="AB114" s="1"/>
      <c r="AC114" s="1"/>
    </row>
    <row r="115" spans="1:29" x14ac:dyDescent="0.3">
      <c r="A115" s="1" t="s">
        <v>490</v>
      </c>
      <c r="B115">
        <v>116</v>
      </c>
      <c r="C115" s="1" t="s">
        <v>28</v>
      </c>
      <c r="D115" s="1" t="s">
        <v>29</v>
      </c>
      <c r="E115" s="1" t="s">
        <v>199</v>
      </c>
      <c r="F115" s="1"/>
      <c r="G115" s="1"/>
      <c r="H115" s="1" t="s">
        <v>491</v>
      </c>
      <c r="I115" s="1" t="s">
        <v>492</v>
      </c>
      <c r="J115" s="1" t="s">
        <v>90</v>
      </c>
      <c r="K115" s="1"/>
      <c r="L115" s="1" t="s">
        <v>55</v>
      </c>
      <c r="M115" s="1"/>
      <c r="N115" s="1"/>
      <c r="O115" s="2">
        <v>45363</v>
      </c>
      <c r="P115" s="2">
        <v>45728</v>
      </c>
      <c r="Q115" s="1" t="s">
        <v>36</v>
      </c>
      <c r="R115" s="1" t="s">
        <v>37</v>
      </c>
      <c r="S115" s="1"/>
      <c r="T115" s="1"/>
      <c r="U115" s="1"/>
      <c r="V115" s="1" t="s">
        <v>38</v>
      </c>
      <c r="W115" s="1" t="s">
        <v>39</v>
      </c>
      <c r="X115" s="1" t="s">
        <v>40</v>
      </c>
      <c r="Y115">
        <v>1</v>
      </c>
      <c r="Z115" s="1" t="s">
        <v>108</v>
      </c>
      <c r="AA115" s="1"/>
      <c r="AB115" s="1"/>
      <c r="AC115" s="1"/>
    </row>
    <row r="116" spans="1:29" x14ac:dyDescent="0.3">
      <c r="A116" s="1" t="s">
        <v>493</v>
      </c>
      <c r="B116">
        <v>117</v>
      </c>
      <c r="C116" s="1" t="s">
        <v>28</v>
      </c>
      <c r="D116" s="1" t="s">
        <v>65</v>
      </c>
      <c r="E116" s="1" t="s">
        <v>199</v>
      </c>
      <c r="F116" s="1"/>
      <c r="G116" s="1"/>
      <c r="H116" s="1" t="s">
        <v>494</v>
      </c>
      <c r="I116" s="1" t="s">
        <v>495</v>
      </c>
      <c r="J116" s="1" t="s">
        <v>68</v>
      </c>
      <c r="K116" s="1" t="s">
        <v>69</v>
      </c>
      <c r="L116" s="1" t="s">
        <v>61</v>
      </c>
      <c r="M116" s="1"/>
      <c r="N116" s="1"/>
      <c r="O116" s="2"/>
      <c r="P116" s="2"/>
      <c r="Q116" s="1" t="s">
        <v>46</v>
      </c>
      <c r="R116" s="1" t="s">
        <v>46</v>
      </c>
      <c r="S116" s="1" t="s">
        <v>46</v>
      </c>
      <c r="T116" s="1" t="s">
        <v>46</v>
      </c>
      <c r="U116" s="1"/>
      <c r="V116" s="1" t="s">
        <v>47</v>
      </c>
      <c r="W116" s="1" t="s">
        <v>39</v>
      </c>
      <c r="X116" s="1" t="s">
        <v>48</v>
      </c>
      <c r="Y116">
        <v>0</v>
      </c>
      <c r="Z116" s="1"/>
      <c r="AA116" s="1"/>
      <c r="AB116" s="1"/>
      <c r="AC116" s="1"/>
    </row>
    <row r="117" spans="1:29" x14ac:dyDescent="0.3">
      <c r="A117" s="1" t="s">
        <v>496</v>
      </c>
      <c r="B117">
        <v>118</v>
      </c>
      <c r="C117" s="1" t="s">
        <v>28</v>
      </c>
      <c r="D117" s="1" t="s">
        <v>50</v>
      </c>
      <c r="E117" s="1" t="s">
        <v>104</v>
      </c>
      <c r="F117" s="1"/>
      <c r="G117" s="1"/>
      <c r="H117" s="1" t="s">
        <v>497</v>
      </c>
      <c r="I117" s="1" t="s">
        <v>498</v>
      </c>
      <c r="J117" s="1" t="s">
        <v>499</v>
      </c>
      <c r="K117" s="1" t="s">
        <v>500</v>
      </c>
      <c r="L117" s="1" t="s">
        <v>55</v>
      </c>
      <c r="M117" s="1"/>
      <c r="N117" s="1"/>
      <c r="O117" s="2">
        <v>43839</v>
      </c>
      <c r="P117" s="2"/>
      <c r="Q117" s="1" t="s">
        <v>212</v>
      </c>
      <c r="R117" s="1" t="s">
        <v>212</v>
      </c>
      <c r="S117" s="1"/>
      <c r="T117" s="1" t="s">
        <v>212</v>
      </c>
      <c r="U117" s="1"/>
      <c r="V117" s="1" t="s">
        <v>38</v>
      </c>
      <c r="W117" s="1" t="s">
        <v>39</v>
      </c>
      <c r="X117" s="1" t="s">
        <v>40</v>
      </c>
      <c r="Y117">
        <v>1</v>
      </c>
      <c r="Z117" s="1" t="s">
        <v>41</v>
      </c>
      <c r="AA117" s="1"/>
      <c r="AB117" s="1"/>
      <c r="AC117" s="1"/>
    </row>
    <row r="118" spans="1:29" x14ac:dyDescent="0.3">
      <c r="A118" s="1" t="s">
        <v>501</v>
      </c>
      <c r="B118">
        <v>119</v>
      </c>
      <c r="C118" s="1" t="s">
        <v>28</v>
      </c>
      <c r="D118" s="1" t="s">
        <v>92</v>
      </c>
      <c r="E118" s="1" t="s">
        <v>30</v>
      </c>
      <c r="F118" s="1"/>
      <c r="G118" s="1"/>
      <c r="H118" s="1" t="s">
        <v>502</v>
      </c>
      <c r="I118" s="1" t="s">
        <v>503</v>
      </c>
      <c r="J118" s="1" t="s">
        <v>61</v>
      </c>
      <c r="K118" s="1"/>
      <c r="L118" s="1" t="s">
        <v>61</v>
      </c>
      <c r="M118" s="1"/>
      <c r="N118" s="1"/>
      <c r="O118" s="2"/>
      <c r="P118" s="2"/>
      <c r="Q118" s="1"/>
      <c r="R118" s="1"/>
      <c r="S118" s="1"/>
      <c r="T118" s="1"/>
      <c r="U118" s="1"/>
      <c r="V118" s="1" t="s">
        <v>62</v>
      </c>
      <c r="W118" s="1" t="s">
        <v>39</v>
      </c>
      <c r="X118" s="1" t="s">
        <v>40</v>
      </c>
      <c r="Y118">
        <v>1</v>
      </c>
      <c r="Z118" s="1" t="s">
        <v>63</v>
      </c>
      <c r="AA118" s="1"/>
      <c r="AB118" s="1"/>
      <c r="AC118" s="1"/>
    </row>
    <row r="119" spans="1:29" x14ac:dyDescent="0.3">
      <c r="A119" s="1" t="s">
        <v>504</v>
      </c>
      <c r="B119">
        <v>120</v>
      </c>
      <c r="C119" s="1" t="s">
        <v>28</v>
      </c>
      <c r="D119" s="1" t="s">
        <v>81</v>
      </c>
      <c r="E119" s="1" t="s">
        <v>104</v>
      </c>
      <c r="F119" s="1"/>
      <c r="G119" s="1"/>
      <c r="H119" s="1" t="s">
        <v>505</v>
      </c>
      <c r="I119" s="1" t="s">
        <v>506</v>
      </c>
      <c r="J119" s="1" t="s">
        <v>263</v>
      </c>
      <c r="K119" s="1"/>
      <c r="L119" s="1" t="s">
        <v>55</v>
      </c>
      <c r="M119" s="1"/>
      <c r="N119" s="1"/>
      <c r="O119" s="2"/>
      <c r="P119" s="2"/>
      <c r="Q119" s="1" t="s">
        <v>46</v>
      </c>
      <c r="R119" s="1" t="s">
        <v>46</v>
      </c>
      <c r="S119" s="1" t="s">
        <v>46</v>
      </c>
      <c r="T119" s="1" t="s">
        <v>46</v>
      </c>
      <c r="U119" s="1"/>
      <c r="V119" s="1" t="s">
        <v>47</v>
      </c>
      <c r="W119" s="1" t="s">
        <v>39</v>
      </c>
      <c r="X119" s="1" t="s">
        <v>48</v>
      </c>
      <c r="Y119">
        <v>0</v>
      </c>
      <c r="Z119" s="1" t="s">
        <v>79</v>
      </c>
      <c r="AA119" s="1"/>
      <c r="AB119" s="1"/>
      <c r="AC119" s="1"/>
    </row>
    <row r="120" spans="1:29" x14ac:dyDescent="0.3">
      <c r="A120" s="1" t="s">
        <v>507</v>
      </c>
      <c r="B120">
        <v>121</v>
      </c>
      <c r="C120" s="1" t="s">
        <v>28</v>
      </c>
      <c r="D120" s="1" t="s">
        <v>81</v>
      </c>
      <c r="E120" s="1" t="s">
        <v>104</v>
      </c>
      <c r="F120" s="1"/>
      <c r="G120" s="1"/>
      <c r="H120" s="1" t="s">
        <v>508</v>
      </c>
      <c r="I120" s="1" t="s">
        <v>509</v>
      </c>
      <c r="J120" s="1" t="s">
        <v>263</v>
      </c>
      <c r="K120" s="1"/>
      <c r="L120" s="1" t="s">
        <v>55</v>
      </c>
      <c r="M120" s="1"/>
      <c r="N120" s="1"/>
      <c r="O120" s="2"/>
      <c r="P120" s="2"/>
      <c r="Q120" s="1" t="s">
        <v>46</v>
      </c>
      <c r="R120" s="1" t="s">
        <v>46</v>
      </c>
      <c r="S120" s="1" t="s">
        <v>46</v>
      </c>
      <c r="T120" s="1" t="s">
        <v>46</v>
      </c>
      <c r="U120" s="1"/>
      <c r="V120" s="1" t="s">
        <v>47</v>
      </c>
      <c r="W120" s="1" t="s">
        <v>39</v>
      </c>
      <c r="X120" s="1" t="s">
        <v>48</v>
      </c>
      <c r="Y120">
        <v>0</v>
      </c>
      <c r="Z120" s="1" t="s">
        <v>79</v>
      </c>
      <c r="AA120" s="1"/>
      <c r="AB120" s="1"/>
      <c r="AC120" s="1"/>
    </row>
    <row r="121" spans="1:29" x14ac:dyDescent="0.3">
      <c r="A121" s="1" t="s">
        <v>510</v>
      </c>
      <c r="B121">
        <v>122</v>
      </c>
      <c r="C121" s="1" t="s">
        <v>28</v>
      </c>
      <c r="D121" s="1" t="s">
        <v>81</v>
      </c>
      <c r="E121" s="1" t="s">
        <v>104</v>
      </c>
      <c r="F121" s="1"/>
      <c r="G121" s="1"/>
      <c r="H121" s="1" t="s">
        <v>511</v>
      </c>
      <c r="I121" s="1" t="s">
        <v>512</v>
      </c>
      <c r="J121" s="1" t="s">
        <v>210</v>
      </c>
      <c r="K121" s="1"/>
      <c r="L121" s="1" t="s">
        <v>55</v>
      </c>
      <c r="M121" s="1"/>
      <c r="N121" s="1"/>
      <c r="O121" s="2">
        <v>44197</v>
      </c>
      <c r="P121" s="2"/>
      <c r="Q121" s="1" t="s">
        <v>37</v>
      </c>
      <c r="R121" s="1" t="s">
        <v>37</v>
      </c>
      <c r="S121" s="1"/>
      <c r="T121" s="1"/>
      <c r="U121" s="1" t="s">
        <v>513</v>
      </c>
      <c r="V121" s="1" t="s">
        <v>40</v>
      </c>
      <c r="W121" s="1" t="s">
        <v>39</v>
      </c>
      <c r="X121" s="1" t="s">
        <v>40</v>
      </c>
      <c r="Y121">
        <v>2</v>
      </c>
      <c r="Z121" s="1" t="s">
        <v>452</v>
      </c>
      <c r="AA121" s="1"/>
      <c r="AB121" s="1"/>
      <c r="AC121" s="1"/>
    </row>
    <row r="122" spans="1:29" x14ac:dyDescent="0.3">
      <c r="A122" s="1" t="s">
        <v>514</v>
      </c>
      <c r="B122">
        <v>123</v>
      </c>
      <c r="C122" s="1" t="s">
        <v>28</v>
      </c>
      <c r="D122" s="1" t="s">
        <v>120</v>
      </c>
      <c r="E122" s="1" t="s">
        <v>199</v>
      </c>
      <c r="F122" s="1"/>
      <c r="G122" s="1"/>
      <c r="H122" s="1" t="s">
        <v>515</v>
      </c>
      <c r="I122" s="1"/>
      <c r="J122" s="1" t="s">
        <v>303</v>
      </c>
      <c r="K122" s="1" t="s">
        <v>427</v>
      </c>
      <c r="L122" s="1"/>
      <c r="M122" s="1"/>
      <c r="N122" s="1"/>
      <c r="O122" s="2"/>
      <c r="P122" s="2"/>
      <c r="Q122" s="1"/>
      <c r="R122" s="1"/>
      <c r="S122" s="1"/>
      <c r="T122" s="1"/>
      <c r="U122" s="1"/>
      <c r="V122" s="1" t="s">
        <v>62</v>
      </c>
      <c r="W122" s="1" t="s">
        <v>270</v>
      </c>
      <c r="X122" s="1" t="s">
        <v>40</v>
      </c>
      <c r="Y122">
        <v>3</v>
      </c>
      <c r="Z122" s="1" t="s">
        <v>516</v>
      </c>
      <c r="AA122" s="1"/>
      <c r="AB122" s="1"/>
      <c r="AC122" s="1"/>
    </row>
    <row r="123" spans="1:29" x14ac:dyDescent="0.3">
      <c r="A123" s="1" t="s">
        <v>517</v>
      </c>
      <c r="B123">
        <v>124</v>
      </c>
      <c r="C123" s="1" t="s">
        <v>28</v>
      </c>
      <c r="D123" s="1" t="s">
        <v>120</v>
      </c>
      <c r="E123" s="1" t="s">
        <v>30</v>
      </c>
      <c r="F123" s="1"/>
      <c r="G123" s="1"/>
      <c r="H123" s="1" t="s">
        <v>518</v>
      </c>
      <c r="I123" s="1" t="s">
        <v>519</v>
      </c>
      <c r="J123" s="1" t="s">
        <v>303</v>
      </c>
      <c r="K123" s="1" t="s">
        <v>520</v>
      </c>
      <c r="L123" s="1" t="s">
        <v>61</v>
      </c>
      <c r="M123" s="1"/>
      <c r="N123" s="1"/>
      <c r="O123" s="2">
        <v>45992</v>
      </c>
      <c r="P123" s="2">
        <v>46387</v>
      </c>
      <c r="Q123" s="1" t="s">
        <v>77</v>
      </c>
      <c r="R123" s="1" t="s">
        <v>56</v>
      </c>
      <c r="S123" s="1"/>
      <c r="T123" s="1"/>
      <c r="U123" s="1"/>
      <c r="V123" s="1" t="s">
        <v>39</v>
      </c>
      <c r="W123" s="1" t="s">
        <v>39</v>
      </c>
      <c r="X123" s="1" t="s">
        <v>48</v>
      </c>
      <c r="Y123">
        <v>0</v>
      </c>
      <c r="Z123" s="1"/>
      <c r="AA123" s="1"/>
      <c r="AB123" s="1"/>
      <c r="AC123" s="1"/>
    </row>
    <row r="124" spans="1:29" x14ac:dyDescent="0.3">
      <c r="A124" s="1" t="s">
        <v>521</v>
      </c>
      <c r="B124">
        <v>125</v>
      </c>
      <c r="C124" s="1" t="s">
        <v>28</v>
      </c>
      <c r="D124" s="1" t="s">
        <v>50</v>
      </c>
      <c r="E124" s="1" t="s">
        <v>104</v>
      </c>
      <c r="F124" s="1"/>
      <c r="G124" s="1"/>
      <c r="H124" s="1" t="s">
        <v>522</v>
      </c>
      <c r="I124" s="1" t="s">
        <v>523</v>
      </c>
      <c r="J124" s="1" t="s">
        <v>53</v>
      </c>
      <c r="K124" s="1" t="s">
        <v>500</v>
      </c>
      <c r="L124" s="1" t="s">
        <v>55</v>
      </c>
      <c r="M124" s="1"/>
      <c r="N124" s="1"/>
      <c r="O124" s="2">
        <v>41760</v>
      </c>
      <c r="P124" s="2"/>
      <c r="Q124" s="1" t="s">
        <v>37</v>
      </c>
      <c r="R124" s="1" t="s">
        <v>37</v>
      </c>
      <c r="S124" s="1"/>
      <c r="T124" s="1" t="s">
        <v>37</v>
      </c>
      <c r="U124" s="1"/>
      <c r="V124" s="1" t="s">
        <v>38</v>
      </c>
      <c r="W124" s="1" t="s">
        <v>39</v>
      </c>
      <c r="X124" s="1" t="s">
        <v>40</v>
      </c>
      <c r="Y124">
        <v>1</v>
      </c>
      <c r="Z124" s="1" t="s">
        <v>41</v>
      </c>
      <c r="AA124" s="1"/>
      <c r="AB124" s="1"/>
      <c r="AC124" s="1"/>
    </row>
    <row r="125" spans="1:29" x14ac:dyDescent="0.3">
      <c r="A125" s="1" t="s">
        <v>524</v>
      </c>
      <c r="B125">
        <v>126</v>
      </c>
      <c r="C125" s="1" t="s">
        <v>28</v>
      </c>
      <c r="D125" s="1" t="s">
        <v>81</v>
      </c>
      <c r="E125" s="1" t="s">
        <v>199</v>
      </c>
      <c r="F125" s="1"/>
      <c r="G125" s="1"/>
      <c r="H125" s="1" t="s">
        <v>525</v>
      </c>
      <c r="I125" s="1" t="s">
        <v>526</v>
      </c>
      <c r="J125" s="1" t="s">
        <v>85</v>
      </c>
      <c r="K125" s="1"/>
      <c r="L125" s="1" t="s">
        <v>55</v>
      </c>
      <c r="M125" s="1"/>
      <c r="N125" s="1"/>
      <c r="O125" s="2">
        <v>44547</v>
      </c>
      <c r="P125" s="2">
        <v>44911</v>
      </c>
      <c r="Q125" s="1" t="s">
        <v>36</v>
      </c>
      <c r="R125" s="1" t="s">
        <v>37</v>
      </c>
      <c r="S125" s="1"/>
      <c r="T125" s="1"/>
      <c r="U125" s="1"/>
      <c r="V125" s="1" t="s">
        <v>38</v>
      </c>
      <c r="W125" s="1" t="s">
        <v>39</v>
      </c>
      <c r="X125" s="1" t="s">
        <v>40</v>
      </c>
      <c r="Y125">
        <v>1</v>
      </c>
      <c r="Z125" s="1" t="s">
        <v>108</v>
      </c>
      <c r="AA125" s="1"/>
      <c r="AB125" s="1"/>
      <c r="AC125" s="1"/>
    </row>
    <row r="126" spans="1:29" x14ac:dyDescent="0.3">
      <c r="A126" s="1" t="s">
        <v>527</v>
      </c>
      <c r="B126">
        <v>127</v>
      </c>
      <c r="C126" s="1" t="s">
        <v>28</v>
      </c>
      <c r="D126" s="1" t="s">
        <v>92</v>
      </c>
      <c r="E126" s="1" t="s">
        <v>104</v>
      </c>
      <c r="F126" s="1"/>
      <c r="G126" s="1"/>
      <c r="H126" s="1" t="s">
        <v>528</v>
      </c>
      <c r="I126" s="1" t="s">
        <v>529</v>
      </c>
      <c r="J126" s="1" t="s">
        <v>35</v>
      </c>
      <c r="K126" s="1"/>
      <c r="L126" s="1" t="s">
        <v>35</v>
      </c>
      <c r="M126" s="1"/>
      <c r="N126" s="1"/>
      <c r="O126" s="2">
        <v>46082</v>
      </c>
      <c r="P126" s="2">
        <v>46446</v>
      </c>
      <c r="Q126" s="1" t="s">
        <v>100</v>
      </c>
      <c r="R126" s="1" t="s">
        <v>56</v>
      </c>
      <c r="S126" s="1"/>
      <c r="T126" s="1"/>
      <c r="U126" s="1"/>
      <c r="V126" s="1" t="s">
        <v>39</v>
      </c>
      <c r="W126" s="1" t="s">
        <v>39</v>
      </c>
      <c r="X126" s="1" t="s">
        <v>48</v>
      </c>
      <c r="Y126">
        <v>0</v>
      </c>
      <c r="Z126" s="1" t="s">
        <v>79</v>
      </c>
      <c r="AA126" s="1"/>
      <c r="AB126" s="1"/>
      <c r="AC126" s="1"/>
    </row>
    <row r="127" spans="1:29" x14ac:dyDescent="0.3">
      <c r="A127" s="1" t="s">
        <v>530</v>
      </c>
      <c r="B127">
        <v>128</v>
      </c>
      <c r="C127" s="1" t="s">
        <v>28</v>
      </c>
      <c r="D127" s="1" t="s">
        <v>65</v>
      </c>
      <c r="E127" s="1" t="s">
        <v>199</v>
      </c>
      <c r="F127" s="1"/>
      <c r="G127" s="1"/>
      <c r="H127" s="1" t="s">
        <v>531</v>
      </c>
      <c r="I127" s="1" t="s">
        <v>532</v>
      </c>
      <c r="J127" s="1" t="s">
        <v>68</v>
      </c>
      <c r="K127" s="1" t="s">
        <v>69</v>
      </c>
      <c r="L127" s="1" t="s">
        <v>55</v>
      </c>
      <c r="M127" s="1"/>
      <c r="N127" s="1"/>
      <c r="O127" s="2">
        <v>43132</v>
      </c>
      <c r="P127" s="2"/>
      <c r="Q127" s="1" t="s">
        <v>533</v>
      </c>
      <c r="R127" s="1" t="s">
        <v>56</v>
      </c>
      <c r="S127" s="1"/>
      <c r="T127" s="1" t="s">
        <v>78</v>
      </c>
      <c r="U127" s="1"/>
      <c r="V127" s="1" t="s">
        <v>39</v>
      </c>
      <c r="W127" s="1" t="s">
        <v>39</v>
      </c>
      <c r="X127" s="1" t="s">
        <v>48</v>
      </c>
      <c r="Y127">
        <v>0</v>
      </c>
      <c r="Z127" s="1"/>
      <c r="AA127" s="1"/>
      <c r="AB127" s="1"/>
      <c r="AC127" s="1"/>
    </row>
    <row r="128" spans="1:29" x14ac:dyDescent="0.3">
      <c r="A128" s="1" t="s">
        <v>534</v>
      </c>
      <c r="B128">
        <v>129</v>
      </c>
      <c r="C128" s="1" t="s">
        <v>28</v>
      </c>
      <c r="D128" s="1" t="s">
        <v>29</v>
      </c>
      <c r="E128" s="1" t="s">
        <v>199</v>
      </c>
      <c r="F128" s="1"/>
      <c r="G128" s="1"/>
      <c r="H128" s="1" t="s">
        <v>535</v>
      </c>
      <c r="I128" s="1" t="s">
        <v>536</v>
      </c>
      <c r="J128" s="1" t="s">
        <v>90</v>
      </c>
      <c r="K128" s="1"/>
      <c r="L128" s="1" t="s">
        <v>55</v>
      </c>
      <c r="M128" s="1"/>
      <c r="N128" s="1"/>
      <c r="O128" s="2">
        <v>40544</v>
      </c>
      <c r="P128" s="2">
        <v>41639</v>
      </c>
      <c r="Q128" s="1" t="s">
        <v>77</v>
      </c>
      <c r="R128" s="1" t="s">
        <v>56</v>
      </c>
      <c r="S128" s="1"/>
      <c r="T128" s="1"/>
      <c r="U128" s="1"/>
      <c r="V128" s="1" t="s">
        <v>39</v>
      </c>
      <c r="W128" s="1" t="s">
        <v>39</v>
      </c>
      <c r="X128" s="1" t="s">
        <v>48</v>
      </c>
      <c r="Y128">
        <v>0</v>
      </c>
      <c r="Z128" s="1" t="s">
        <v>79</v>
      </c>
      <c r="AA128" s="1"/>
      <c r="AB128" s="1"/>
      <c r="AC128" s="1"/>
    </row>
    <row r="129" spans="1:29" x14ac:dyDescent="0.3">
      <c r="A129" s="1" t="s">
        <v>537</v>
      </c>
      <c r="B129">
        <v>130</v>
      </c>
      <c r="C129" s="1" t="s">
        <v>28</v>
      </c>
      <c r="D129" s="1" t="s">
        <v>50</v>
      </c>
      <c r="E129" s="1" t="s">
        <v>104</v>
      </c>
      <c r="F129" s="1"/>
      <c r="G129" s="1"/>
      <c r="H129" s="1" t="s">
        <v>538</v>
      </c>
      <c r="I129" s="1" t="s">
        <v>539</v>
      </c>
      <c r="J129" s="1" t="s">
        <v>53</v>
      </c>
      <c r="K129" s="1" t="s">
        <v>138</v>
      </c>
      <c r="L129" s="1" t="s">
        <v>55</v>
      </c>
      <c r="M129" s="1"/>
      <c r="N129" s="1"/>
      <c r="O129" s="2"/>
      <c r="P129" s="2">
        <v>46387</v>
      </c>
      <c r="Q129" s="1" t="s">
        <v>77</v>
      </c>
      <c r="R129" s="1" t="s">
        <v>71</v>
      </c>
      <c r="S129" s="1" t="s">
        <v>212</v>
      </c>
      <c r="T129" s="1"/>
      <c r="U129" s="1"/>
      <c r="V129" s="1" t="s">
        <v>38</v>
      </c>
      <c r="W129" s="1" t="s">
        <v>39</v>
      </c>
      <c r="X129" s="1" t="s">
        <v>40</v>
      </c>
      <c r="Y129">
        <v>1</v>
      </c>
      <c r="Z129" s="1" t="s">
        <v>41</v>
      </c>
      <c r="AA129" s="1"/>
      <c r="AB129" s="1"/>
      <c r="AC129" s="1"/>
    </row>
    <row r="130" spans="1:29" x14ac:dyDescent="0.3">
      <c r="A130" s="1" t="s">
        <v>540</v>
      </c>
      <c r="B130">
        <v>131</v>
      </c>
      <c r="C130" s="1" t="s">
        <v>28</v>
      </c>
      <c r="D130" s="1" t="s">
        <v>92</v>
      </c>
      <c r="E130" s="1" t="s">
        <v>30</v>
      </c>
      <c r="F130" s="1"/>
      <c r="G130" s="1"/>
      <c r="H130" s="1" t="s">
        <v>541</v>
      </c>
      <c r="I130" s="1" t="s">
        <v>542</v>
      </c>
      <c r="J130" s="1" t="s">
        <v>35</v>
      </c>
      <c r="K130" s="1"/>
      <c r="L130" s="1" t="s">
        <v>35</v>
      </c>
      <c r="M130" s="1"/>
      <c r="N130" s="1"/>
      <c r="O130" s="2"/>
      <c r="P130" s="2"/>
      <c r="Q130" s="1"/>
      <c r="R130" s="1"/>
      <c r="S130" s="1"/>
      <c r="T130" s="1"/>
      <c r="U130" s="1"/>
      <c r="V130" s="1" t="s">
        <v>62</v>
      </c>
      <c r="W130" s="1" t="s">
        <v>39</v>
      </c>
      <c r="X130" s="1" t="s">
        <v>40</v>
      </c>
      <c r="Y130">
        <v>1</v>
      </c>
      <c r="Z130" s="1" t="s">
        <v>63</v>
      </c>
      <c r="AA130" s="1"/>
      <c r="AB130" s="1"/>
      <c r="AC130" s="1"/>
    </row>
    <row r="131" spans="1:29" x14ac:dyDescent="0.3">
      <c r="A131" s="1" t="s">
        <v>543</v>
      </c>
      <c r="B131">
        <v>132</v>
      </c>
      <c r="C131" s="1" t="s">
        <v>28</v>
      </c>
      <c r="D131" s="1" t="s">
        <v>92</v>
      </c>
      <c r="E131" s="1" t="s">
        <v>30</v>
      </c>
      <c r="F131" s="1"/>
      <c r="G131" s="1"/>
      <c r="H131" s="1" t="s">
        <v>544</v>
      </c>
      <c r="I131" s="1" t="s">
        <v>545</v>
      </c>
      <c r="J131" s="1" t="s">
        <v>61</v>
      </c>
      <c r="K131" s="1"/>
      <c r="L131" s="1" t="s">
        <v>61</v>
      </c>
      <c r="M131" s="1"/>
      <c r="N131" s="1"/>
      <c r="O131" s="2"/>
      <c r="P131" s="2"/>
      <c r="Q131" s="1"/>
      <c r="R131" s="1"/>
      <c r="S131" s="1"/>
      <c r="T131" s="1"/>
      <c r="U131" s="1"/>
      <c r="V131" s="1" t="s">
        <v>62</v>
      </c>
      <c r="W131" s="1" t="s">
        <v>39</v>
      </c>
      <c r="X131" s="1" t="s">
        <v>40</v>
      </c>
      <c r="Y131">
        <v>1</v>
      </c>
      <c r="Z131" s="1" t="s">
        <v>63</v>
      </c>
      <c r="AA131" s="1"/>
      <c r="AB131" s="1"/>
      <c r="AC131" s="1"/>
    </row>
    <row r="132" spans="1:29" x14ac:dyDescent="0.3">
      <c r="A132" s="1" t="s">
        <v>546</v>
      </c>
      <c r="B132">
        <v>133</v>
      </c>
      <c r="C132" s="1" t="s">
        <v>28</v>
      </c>
      <c r="D132" s="1" t="s">
        <v>29</v>
      </c>
      <c r="E132" s="1" t="s">
        <v>199</v>
      </c>
      <c r="F132" s="1"/>
      <c r="G132" s="1"/>
      <c r="H132" s="1" t="s">
        <v>547</v>
      </c>
      <c r="I132" s="1" t="s">
        <v>548</v>
      </c>
      <c r="J132" s="1" t="s">
        <v>33</v>
      </c>
      <c r="K132" s="1" t="s">
        <v>280</v>
      </c>
      <c r="L132" s="1" t="s">
        <v>35</v>
      </c>
      <c r="M132" s="1"/>
      <c r="N132" s="1"/>
      <c r="O132" s="2">
        <v>44562</v>
      </c>
      <c r="P132" s="2">
        <v>44926</v>
      </c>
      <c r="Q132" s="1" t="s">
        <v>36</v>
      </c>
      <c r="R132" s="1" t="s">
        <v>212</v>
      </c>
      <c r="S132" s="1"/>
      <c r="T132" s="1"/>
      <c r="U132" s="1"/>
      <c r="V132" s="1" t="s">
        <v>38</v>
      </c>
      <c r="W132" s="1" t="s">
        <v>39</v>
      </c>
      <c r="X132" s="1" t="s">
        <v>40</v>
      </c>
      <c r="Y132">
        <v>1</v>
      </c>
      <c r="Z132" s="1" t="s">
        <v>41</v>
      </c>
      <c r="AA132" s="1"/>
      <c r="AB132" s="1"/>
      <c r="AC132" s="1"/>
    </row>
    <row r="133" spans="1:29" x14ac:dyDescent="0.3">
      <c r="A133" s="1" t="s">
        <v>549</v>
      </c>
      <c r="B133">
        <v>134</v>
      </c>
      <c r="C133" s="1" t="s">
        <v>28</v>
      </c>
      <c r="D133" s="1" t="s">
        <v>120</v>
      </c>
      <c r="E133" s="1" t="s">
        <v>104</v>
      </c>
      <c r="F133" s="1"/>
      <c r="G133" s="1"/>
      <c r="H133" s="1" t="s">
        <v>550</v>
      </c>
      <c r="I133" s="1" t="s">
        <v>551</v>
      </c>
      <c r="J133" s="1" t="s">
        <v>127</v>
      </c>
      <c r="K133" s="1" t="s">
        <v>127</v>
      </c>
      <c r="L133" s="1" t="s">
        <v>35</v>
      </c>
      <c r="M133" s="1"/>
      <c r="N133" s="1" t="s">
        <v>552</v>
      </c>
      <c r="O133" s="2">
        <v>45097</v>
      </c>
      <c r="P133" s="2"/>
      <c r="Q133" s="1" t="s">
        <v>77</v>
      </c>
      <c r="R133" s="1" t="s">
        <v>56</v>
      </c>
      <c r="S133" s="1"/>
      <c r="T133" s="1" t="s">
        <v>37</v>
      </c>
      <c r="U133" s="1"/>
      <c r="V133" s="1" t="s">
        <v>38</v>
      </c>
      <c r="W133" s="1" t="s">
        <v>39</v>
      </c>
      <c r="X133" s="1" t="s">
        <v>40</v>
      </c>
      <c r="Y133">
        <v>1</v>
      </c>
      <c r="Z133" s="1" t="s">
        <v>41</v>
      </c>
      <c r="AA133" s="1"/>
      <c r="AB133" s="1"/>
      <c r="AC133" s="1"/>
    </row>
    <row r="134" spans="1:29" x14ac:dyDescent="0.3">
      <c r="A134" s="1" t="s">
        <v>553</v>
      </c>
      <c r="B134">
        <v>135</v>
      </c>
      <c r="C134" s="1" t="s">
        <v>28</v>
      </c>
      <c r="D134" s="1" t="s">
        <v>120</v>
      </c>
      <c r="E134" s="1" t="s">
        <v>30</v>
      </c>
      <c r="F134" s="1"/>
      <c r="G134" s="1"/>
      <c r="H134" s="1" t="s">
        <v>554</v>
      </c>
      <c r="I134" s="1" t="s">
        <v>555</v>
      </c>
      <c r="J134" s="1" t="s">
        <v>303</v>
      </c>
      <c r="K134" s="1" t="s">
        <v>303</v>
      </c>
      <c r="L134" s="1" t="s">
        <v>55</v>
      </c>
      <c r="M134" s="1"/>
      <c r="N134" s="1"/>
      <c r="O134" s="2"/>
      <c r="P134" s="2"/>
      <c r="Q134" s="1" t="s">
        <v>480</v>
      </c>
      <c r="R134" s="1" t="s">
        <v>480</v>
      </c>
      <c r="S134" s="1" t="s">
        <v>480</v>
      </c>
      <c r="T134" s="1" t="s">
        <v>480</v>
      </c>
      <c r="U134" s="1"/>
      <c r="V134" s="1" t="s">
        <v>62</v>
      </c>
      <c r="W134" s="1" t="s">
        <v>39</v>
      </c>
      <c r="X134" s="1" t="s">
        <v>40</v>
      </c>
      <c r="Y134">
        <v>1</v>
      </c>
      <c r="Z134" s="1" t="s">
        <v>114</v>
      </c>
      <c r="AA134" s="1"/>
      <c r="AB134" s="1"/>
      <c r="AC134" s="1"/>
    </row>
    <row r="135" spans="1:29" x14ac:dyDescent="0.3">
      <c r="A135" s="1" t="s">
        <v>556</v>
      </c>
      <c r="B135">
        <v>136</v>
      </c>
      <c r="C135" s="1" t="s">
        <v>28</v>
      </c>
      <c r="D135" s="1" t="s">
        <v>103</v>
      </c>
      <c r="E135" s="1" t="s">
        <v>199</v>
      </c>
      <c r="F135" s="1"/>
      <c r="G135" s="1"/>
      <c r="H135" s="1" t="s">
        <v>557</v>
      </c>
      <c r="I135" s="1" t="s">
        <v>558</v>
      </c>
      <c r="J135" s="1" t="s">
        <v>107</v>
      </c>
      <c r="K135" s="1"/>
      <c r="L135" s="1" t="s">
        <v>55</v>
      </c>
      <c r="M135" s="1"/>
      <c r="N135" s="1"/>
      <c r="O135" s="2"/>
      <c r="P135" s="2"/>
      <c r="Q135" s="1" t="s">
        <v>46</v>
      </c>
      <c r="R135" s="1" t="s">
        <v>46</v>
      </c>
      <c r="S135" s="1" t="s">
        <v>46</v>
      </c>
      <c r="T135" s="1" t="s">
        <v>46</v>
      </c>
      <c r="U135" s="1"/>
      <c r="V135" s="1" t="s">
        <v>47</v>
      </c>
      <c r="W135" s="1" t="s">
        <v>39</v>
      </c>
      <c r="X135" s="1" t="s">
        <v>48</v>
      </c>
      <c r="Y135">
        <v>0</v>
      </c>
      <c r="Z135" s="1" t="s">
        <v>79</v>
      </c>
      <c r="AA135" s="1"/>
      <c r="AB135" s="1"/>
      <c r="AC135" s="1"/>
    </row>
    <row r="136" spans="1:29" x14ac:dyDescent="0.3">
      <c r="A136" s="1" t="s">
        <v>559</v>
      </c>
      <c r="B136">
        <v>137</v>
      </c>
      <c r="C136" s="1" t="s">
        <v>28</v>
      </c>
      <c r="D136" s="1" t="s">
        <v>50</v>
      </c>
      <c r="E136" s="1" t="s">
        <v>104</v>
      </c>
      <c r="F136" s="1"/>
      <c r="G136" s="1"/>
      <c r="H136" s="1" t="s">
        <v>560</v>
      </c>
      <c r="I136" s="1" t="s">
        <v>561</v>
      </c>
      <c r="J136" s="1" t="s">
        <v>53</v>
      </c>
      <c r="K136" s="1" t="s">
        <v>500</v>
      </c>
      <c r="L136" s="1" t="s">
        <v>55</v>
      </c>
      <c r="M136" s="1"/>
      <c r="N136" s="1"/>
      <c r="O136" s="2">
        <v>44652</v>
      </c>
      <c r="P136" s="2">
        <v>45747</v>
      </c>
      <c r="Q136" s="1" t="s">
        <v>212</v>
      </c>
      <c r="R136" s="1" t="s">
        <v>212</v>
      </c>
      <c r="S136" s="1"/>
      <c r="T136" s="1"/>
      <c r="U136" s="1"/>
      <c r="V136" s="1" t="s">
        <v>38</v>
      </c>
      <c r="W136" s="1" t="s">
        <v>39</v>
      </c>
      <c r="X136" s="1" t="s">
        <v>40</v>
      </c>
      <c r="Y136">
        <v>1</v>
      </c>
      <c r="Z136" s="1" t="s">
        <v>41</v>
      </c>
      <c r="AA136" s="1"/>
      <c r="AB136" s="1"/>
      <c r="AC136" s="1"/>
    </row>
    <row r="137" spans="1:29" x14ac:dyDescent="0.3">
      <c r="A137" s="1" t="s">
        <v>562</v>
      </c>
      <c r="B137">
        <v>138</v>
      </c>
      <c r="C137" s="1" t="s">
        <v>28</v>
      </c>
      <c r="D137" s="1" t="s">
        <v>29</v>
      </c>
      <c r="E137" s="1" t="s">
        <v>199</v>
      </c>
      <c r="F137" s="1"/>
      <c r="G137" s="1"/>
      <c r="H137" s="1" t="s">
        <v>563</v>
      </c>
      <c r="I137" s="1" t="s">
        <v>564</v>
      </c>
      <c r="J137" s="1" t="s">
        <v>90</v>
      </c>
      <c r="K137" s="1"/>
      <c r="L137" s="1" t="s">
        <v>55</v>
      </c>
      <c r="M137" s="1"/>
      <c r="N137" s="1"/>
      <c r="O137" s="2">
        <v>40544</v>
      </c>
      <c r="P137" s="2"/>
      <c r="Q137" s="1" t="s">
        <v>77</v>
      </c>
      <c r="R137" s="1" t="s">
        <v>56</v>
      </c>
      <c r="S137" s="1"/>
      <c r="T137" s="1" t="s">
        <v>315</v>
      </c>
      <c r="U137" s="1"/>
      <c r="V137" s="1" t="s">
        <v>39</v>
      </c>
      <c r="W137" s="1" t="s">
        <v>39</v>
      </c>
      <c r="X137" s="1" t="s">
        <v>48</v>
      </c>
      <c r="Y137">
        <v>0</v>
      </c>
      <c r="Z137" s="1" t="s">
        <v>79</v>
      </c>
      <c r="AA137" s="1"/>
      <c r="AB137" s="1"/>
      <c r="AC137" s="1"/>
    </row>
    <row r="138" spans="1:29" x14ac:dyDescent="0.3">
      <c r="A138" s="1" t="s">
        <v>565</v>
      </c>
      <c r="B138">
        <v>139</v>
      </c>
      <c r="C138" s="1" t="s">
        <v>28</v>
      </c>
      <c r="D138" s="1" t="s">
        <v>120</v>
      </c>
      <c r="E138" s="1" t="s">
        <v>104</v>
      </c>
      <c r="F138" s="1"/>
      <c r="G138" s="1"/>
      <c r="H138" s="1" t="s">
        <v>566</v>
      </c>
      <c r="I138" s="1" t="s">
        <v>567</v>
      </c>
      <c r="J138" s="1" t="s">
        <v>303</v>
      </c>
      <c r="K138" s="1" t="s">
        <v>568</v>
      </c>
      <c r="L138" s="1" t="s">
        <v>55</v>
      </c>
      <c r="M138" s="1"/>
      <c r="N138" s="1"/>
      <c r="O138" s="2">
        <v>46023</v>
      </c>
      <c r="P138" s="2"/>
      <c r="Q138" s="1" t="s">
        <v>77</v>
      </c>
      <c r="R138" s="1" t="s">
        <v>56</v>
      </c>
      <c r="S138" s="1"/>
      <c r="T138" s="1" t="s">
        <v>78</v>
      </c>
      <c r="U138" s="1"/>
      <c r="V138" s="1" t="s">
        <v>39</v>
      </c>
      <c r="W138" s="1" t="s">
        <v>39</v>
      </c>
      <c r="X138" s="1" t="s">
        <v>48</v>
      </c>
      <c r="Y138">
        <v>0</v>
      </c>
      <c r="Z138" s="1"/>
      <c r="AA138" s="1"/>
      <c r="AB138" s="1"/>
      <c r="AC138" s="1"/>
    </row>
    <row r="139" spans="1:29" x14ac:dyDescent="0.3">
      <c r="A139" s="1" t="s">
        <v>569</v>
      </c>
      <c r="B139">
        <v>140</v>
      </c>
      <c r="C139" s="1" t="s">
        <v>28</v>
      </c>
      <c r="D139" s="1" t="s">
        <v>120</v>
      </c>
      <c r="E139" s="1" t="s">
        <v>104</v>
      </c>
      <c r="F139" s="1"/>
      <c r="G139" s="1"/>
      <c r="H139" s="1" t="s">
        <v>570</v>
      </c>
      <c r="I139" s="1" t="s">
        <v>571</v>
      </c>
      <c r="J139" s="1" t="s">
        <v>303</v>
      </c>
      <c r="K139" s="1" t="s">
        <v>568</v>
      </c>
      <c r="L139" s="1" t="s">
        <v>55</v>
      </c>
      <c r="M139" s="1"/>
      <c r="N139" s="1"/>
      <c r="O139" s="2"/>
      <c r="P139" s="2"/>
      <c r="Q139" s="1" t="s">
        <v>46</v>
      </c>
      <c r="R139" s="1" t="s">
        <v>46</v>
      </c>
      <c r="S139" s="1" t="s">
        <v>46</v>
      </c>
      <c r="T139" s="1" t="s">
        <v>46</v>
      </c>
      <c r="U139" s="1"/>
      <c r="V139" s="1" t="s">
        <v>47</v>
      </c>
      <c r="W139" s="1" t="s">
        <v>39</v>
      </c>
      <c r="X139" s="1" t="s">
        <v>48</v>
      </c>
      <c r="Y139">
        <v>0</v>
      </c>
      <c r="Z139" s="1"/>
      <c r="AA139" s="1"/>
      <c r="AB139" s="1"/>
      <c r="AC139" s="1"/>
    </row>
    <row r="140" spans="1:29" x14ac:dyDescent="0.3">
      <c r="A140" s="1" t="s">
        <v>572</v>
      </c>
      <c r="B140">
        <v>141</v>
      </c>
      <c r="C140" s="1" t="s">
        <v>28</v>
      </c>
      <c r="D140" s="1" t="s">
        <v>120</v>
      </c>
      <c r="E140" s="1" t="s">
        <v>30</v>
      </c>
      <c r="F140" s="1"/>
      <c r="G140" s="1"/>
      <c r="H140" s="1" t="s">
        <v>573</v>
      </c>
      <c r="I140" s="1" t="s">
        <v>574</v>
      </c>
      <c r="J140" s="1" t="s">
        <v>127</v>
      </c>
      <c r="K140" s="1" t="s">
        <v>127</v>
      </c>
      <c r="L140" s="1" t="s">
        <v>55</v>
      </c>
      <c r="M140" s="1"/>
      <c r="N140" s="1"/>
      <c r="O140" s="2">
        <v>45292</v>
      </c>
      <c r="P140" s="2">
        <v>46752</v>
      </c>
      <c r="Q140" s="1" t="s">
        <v>575</v>
      </c>
      <c r="R140" s="1" t="s">
        <v>576</v>
      </c>
      <c r="S140" s="1"/>
      <c r="T140" s="1"/>
      <c r="U140" s="1"/>
      <c r="V140" s="1" t="s">
        <v>39</v>
      </c>
      <c r="W140" s="1" t="s">
        <v>39</v>
      </c>
      <c r="X140" s="1" t="s">
        <v>48</v>
      </c>
      <c r="Y140">
        <v>0</v>
      </c>
      <c r="Z140" s="1"/>
      <c r="AA140" s="1"/>
      <c r="AB140" s="1"/>
      <c r="AC140" s="1"/>
    </row>
    <row r="141" spans="1:29" x14ac:dyDescent="0.3">
      <c r="A141" s="1" t="s">
        <v>577</v>
      </c>
      <c r="B141">
        <v>142</v>
      </c>
      <c r="C141" s="1" t="s">
        <v>28</v>
      </c>
      <c r="D141" s="1" t="s">
        <v>65</v>
      </c>
      <c r="E141" s="1" t="s">
        <v>199</v>
      </c>
      <c r="F141" s="1"/>
      <c r="G141" s="1"/>
      <c r="H141" s="1" t="s">
        <v>578</v>
      </c>
      <c r="I141" s="1" t="s">
        <v>579</v>
      </c>
      <c r="J141" s="1" t="s">
        <v>158</v>
      </c>
      <c r="K141" s="1" t="s">
        <v>580</v>
      </c>
      <c r="L141" s="1" t="s">
        <v>55</v>
      </c>
      <c r="M141" s="1"/>
      <c r="N141" s="1"/>
      <c r="O141" s="2"/>
      <c r="P141" s="2"/>
      <c r="Q141" s="1" t="s">
        <v>46</v>
      </c>
      <c r="R141" s="1" t="s">
        <v>46</v>
      </c>
      <c r="S141" s="1" t="s">
        <v>46</v>
      </c>
      <c r="T141" s="1" t="s">
        <v>46</v>
      </c>
      <c r="U141" s="1"/>
      <c r="V141" s="1" t="s">
        <v>47</v>
      </c>
      <c r="W141" s="1" t="s">
        <v>39</v>
      </c>
      <c r="X141" s="1" t="s">
        <v>48</v>
      </c>
      <c r="Y141">
        <v>0</v>
      </c>
      <c r="Z141" s="1"/>
      <c r="AA141" s="1"/>
      <c r="AB141" s="1"/>
      <c r="AC141" s="1"/>
    </row>
    <row r="142" spans="1:29" x14ac:dyDescent="0.3">
      <c r="A142" s="1" t="s">
        <v>581</v>
      </c>
      <c r="B142">
        <v>143</v>
      </c>
      <c r="C142" s="1" t="s">
        <v>28</v>
      </c>
      <c r="D142" s="1" t="s">
        <v>65</v>
      </c>
      <c r="E142" s="1" t="s">
        <v>199</v>
      </c>
      <c r="F142" s="1"/>
      <c r="G142" s="1"/>
      <c r="H142" s="1" t="s">
        <v>582</v>
      </c>
      <c r="I142" s="1" t="s">
        <v>583</v>
      </c>
      <c r="J142" s="1" t="s">
        <v>158</v>
      </c>
      <c r="K142" s="1" t="s">
        <v>580</v>
      </c>
      <c r="L142" s="1" t="s">
        <v>55</v>
      </c>
      <c r="M142" s="1"/>
      <c r="N142" s="1"/>
      <c r="O142" s="2"/>
      <c r="P142" s="2"/>
      <c r="Q142" s="1" t="s">
        <v>46</v>
      </c>
      <c r="R142" s="1" t="s">
        <v>46</v>
      </c>
      <c r="S142" s="1" t="s">
        <v>46</v>
      </c>
      <c r="T142" s="1" t="s">
        <v>46</v>
      </c>
      <c r="U142" s="1"/>
      <c r="V142" s="1" t="s">
        <v>47</v>
      </c>
      <c r="W142" s="1" t="s">
        <v>39</v>
      </c>
      <c r="X142" s="1" t="s">
        <v>48</v>
      </c>
      <c r="Y142">
        <v>0</v>
      </c>
      <c r="Z142" s="1"/>
      <c r="AA142" s="1"/>
      <c r="AB142" s="1"/>
      <c r="AC142" s="1"/>
    </row>
    <row r="143" spans="1:29" x14ac:dyDescent="0.3">
      <c r="A143" s="1" t="s">
        <v>584</v>
      </c>
      <c r="B143">
        <v>144</v>
      </c>
      <c r="C143" s="1" t="s">
        <v>28</v>
      </c>
      <c r="D143" s="1" t="s">
        <v>29</v>
      </c>
      <c r="E143" s="1" t="s">
        <v>199</v>
      </c>
      <c r="F143" s="1"/>
      <c r="G143" s="1"/>
      <c r="H143" s="1" t="s">
        <v>585</v>
      </c>
      <c r="I143" s="1" t="s">
        <v>586</v>
      </c>
      <c r="J143" s="1" t="s">
        <v>33</v>
      </c>
      <c r="K143" s="1" t="s">
        <v>447</v>
      </c>
      <c r="L143" s="1" t="s">
        <v>55</v>
      </c>
      <c r="M143" s="1"/>
      <c r="N143" s="1"/>
      <c r="O143" s="2">
        <v>44621</v>
      </c>
      <c r="P143" s="2">
        <v>44985</v>
      </c>
      <c r="Q143" s="1" t="s">
        <v>77</v>
      </c>
      <c r="R143" s="1" t="s">
        <v>310</v>
      </c>
      <c r="S143" s="1"/>
      <c r="T143" s="1"/>
      <c r="U143" s="1"/>
      <c r="V143" s="1" t="s">
        <v>39</v>
      </c>
      <c r="W143" s="1" t="s">
        <v>39</v>
      </c>
      <c r="X143" s="1" t="s">
        <v>48</v>
      </c>
      <c r="Y143">
        <v>0</v>
      </c>
      <c r="Z143" s="1"/>
      <c r="AA143" s="1"/>
      <c r="AB143" s="1"/>
      <c r="AC143" s="1"/>
    </row>
    <row r="144" spans="1:29" x14ac:dyDescent="0.3">
      <c r="A144" s="1" t="s">
        <v>587</v>
      </c>
      <c r="B144">
        <v>145</v>
      </c>
      <c r="C144" s="1" t="s">
        <v>28</v>
      </c>
      <c r="D144" s="1" t="s">
        <v>29</v>
      </c>
      <c r="E144" s="1" t="s">
        <v>199</v>
      </c>
      <c r="F144" s="1"/>
      <c r="G144" s="1"/>
      <c r="H144" s="1" t="s">
        <v>588</v>
      </c>
      <c r="I144" s="1" t="s">
        <v>589</v>
      </c>
      <c r="J144" s="1" t="s">
        <v>90</v>
      </c>
      <c r="K144" s="1" t="s">
        <v>131</v>
      </c>
      <c r="L144" s="1" t="s">
        <v>55</v>
      </c>
      <c r="M144" s="1"/>
      <c r="N144" s="1"/>
      <c r="O144" s="2">
        <v>45658</v>
      </c>
      <c r="P144" s="2">
        <v>46387</v>
      </c>
      <c r="Q144" s="1" t="s">
        <v>590</v>
      </c>
      <c r="R144" s="1" t="s">
        <v>56</v>
      </c>
      <c r="S144" s="1"/>
      <c r="T144" s="1"/>
      <c r="U144" s="1"/>
      <c r="V144" s="1" t="s">
        <v>39</v>
      </c>
      <c r="W144" s="1" t="s">
        <v>39</v>
      </c>
      <c r="X144" s="1" t="s">
        <v>48</v>
      </c>
      <c r="Y144">
        <v>0</v>
      </c>
      <c r="Z144" s="1"/>
      <c r="AA144" s="1"/>
      <c r="AB144" s="1"/>
      <c r="AC144" s="1"/>
    </row>
    <row r="145" spans="1:29" x14ac:dyDescent="0.3">
      <c r="A145" s="1" t="s">
        <v>591</v>
      </c>
      <c r="B145">
        <v>146</v>
      </c>
      <c r="C145" s="1" t="s">
        <v>28</v>
      </c>
      <c r="D145" s="1" t="s">
        <v>65</v>
      </c>
      <c r="E145" s="1" t="s">
        <v>199</v>
      </c>
      <c r="F145" s="1"/>
      <c r="G145" s="1"/>
      <c r="H145" s="1" t="s">
        <v>592</v>
      </c>
      <c r="I145" s="1" t="s">
        <v>593</v>
      </c>
      <c r="J145" s="1" t="s">
        <v>68</v>
      </c>
      <c r="K145" s="1" t="s">
        <v>413</v>
      </c>
      <c r="L145" s="1" t="s">
        <v>55</v>
      </c>
      <c r="M145" s="1"/>
      <c r="N145" s="1"/>
      <c r="O145" s="2"/>
      <c r="P145" s="2"/>
      <c r="Q145" s="1" t="s">
        <v>46</v>
      </c>
      <c r="R145" s="1" t="s">
        <v>46</v>
      </c>
      <c r="S145" s="1" t="s">
        <v>46</v>
      </c>
      <c r="T145" s="1" t="s">
        <v>46</v>
      </c>
      <c r="U145" s="1"/>
      <c r="V145" s="1" t="s">
        <v>47</v>
      </c>
      <c r="W145" s="1" t="s">
        <v>39</v>
      </c>
      <c r="X145" s="1" t="s">
        <v>48</v>
      </c>
      <c r="Y145">
        <v>0</v>
      </c>
      <c r="Z145" s="1"/>
      <c r="AA145" s="1"/>
      <c r="AB145" s="1"/>
      <c r="AC145" s="1"/>
    </row>
    <row r="146" spans="1:29" x14ac:dyDescent="0.3">
      <c r="A146" s="1" t="s">
        <v>594</v>
      </c>
      <c r="B146">
        <v>147</v>
      </c>
      <c r="C146" s="1" t="s">
        <v>28</v>
      </c>
      <c r="D146" s="1" t="s">
        <v>92</v>
      </c>
      <c r="E146" s="1" t="s">
        <v>199</v>
      </c>
      <c r="F146" s="1"/>
      <c r="G146" s="1"/>
      <c r="H146" s="1" t="s">
        <v>595</v>
      </c>
      <c r="I146" s="1" t="s">
        <v>596</v>
      </c>
      <c r="J146" s="1" t="s">
        <v>35</v>
      </c>
      <c r="K146" s="1"/>
      <c r="L146" s="1" t="s">
        <v>35</v>
      </c>
      <c r="M146" s="1"/>
      <c r="N146" s="1"/>
      <c r="O146" s="2"/>
      <c r="P146" s="2">
        <v>44834</v>
      </c>
      <c r="Q146" s="1" t="s">
        <v>77</v>
      </c>
      <c r="R146" s="1" t="s">
        <v>310</v>
      </c>
      <c r="S146" s="1"/>
      <c r="T146" s="1"/>
      <c r="U146" s="1" t="s">
        <v>597</v>
      </c>
      <c r="V146" s="1" t="s">
        <v>40</v>
      </c>
      <c r="W146" s="1" t="s">
        <v>39</v>
      </c>
      <c r="X146" s="1" t="s">
        <v>40</v>
      </c>
      <c r="Y146">
        <v>2</v>
      </c>
      <c r="Z146" s="1" t="s">
        <v>452</v>
      </c>
      <c r="AA146" s="1"/>
      <c r="AB146" s="1"/>
      <c r="AC146" s="1"/>
    </row>
    <row r="147" spans="1:29" x14ac:dyDescent="0.3">
      <c r="A147" s="1" t="s">
        <v>598</v>
      </c>
      <c r="B147">
        <v>148</v>
      </c>
      <c r="C147" s="1" t="s">
        <v>28</v>
      </c>
      <c r="D147" s="1" t="s">
        <v>81</v>
      </c>
      <c r="E147" s="1" t="s">
        <v>199</v>
      </c>
      <c r="F147" s="1"/>
      <c r="G147" s="1"/>
      <c r="H147" s="1" t="s">
        <v>599</v>
      </c>
      <c r="I147" s="1" t="s">
        <v>600</v>
      </c>
      <c r="J147" s="1" t="s">
        <v>210</v>
      </c>
      <c r="K147" s="1" t="s">
        <v>601</v>
      </c>
      <c r="L147" s="1" t="s">
        <v>55</v>
      </c>
      <c r="M147" s="1"/>
      <c r="N147" s="1"/>
      <c r="O147" s="2"/>
      <c r="P147" s="2"/>
      <c r="Q147" s="1"/>
      <c r="R147" s="1"/>
      <c r="S147" s="1"/>
      <c r="T147" s="1"/>
      <c r="U147" s="1"/>
      <c r="V147" s="1" t="s">
        <v>62</v>
      </c>
      <c r="W147" s="1" t="s">
        <v>39</v>
      </c>
      <c r="X147" s="1" t="s">
        <v>40</v>
      </c>
      <c r="Y147">
        <v>1</v>
      </c>
      <c r="Z147" s="1" t="s">
        <v>114</v>
      </c>
      <c r="AA147" s="1"/>
      <c r="AB147" s="1"/>
      <c r="AC147" s="1"/>
    </row>
    <row r="148" spans="1:29" x14ac:dyDescent="0.3">
      <c r="A148" s="1" t="s">
        <v>602</v>
      </c>
      <c r="B148">
        <v>149</v>
      </c>
      <c r="C148" s="1" t="s">
        <v>28</v>
      </c>
      <c r="D148" s="1" t="s">
        <v>29</v>
      </c>
      <c r="E148" s="1" t="s">
        <v>199</v>
      </c>
      <c r="F148" s="1"/>
      <c r="G148" s="1"/>
      <c r="H148" s="1" t="s">
        <v>603</v>
      </c>
      <c r="I148" s="1" t="s">
        <v>604</v>
      </c>
      <c r="J148" s="1" t="s">
        <v>33</v>
      </c>
      <c r="K148" s="1" t="s">
        <v>605</v>
      </c>
      <c r="L148" s="1" t="s">
        <v>35</v>
      </c>
      <c r="M148" s="1"/>
      <c r="N148" s="1"/>
      <c r="O148" s="2">
        <v>46197</v>
      </c>
      <c r="P148" s="2">
        <v>46562</v>
      </c>
      <c r="Q148" s="1" t="s">
        <v>100</v>
      </c>
      <c r="R148" s="1" t="s">
        <v>56</v>
      </c>
      <c r="S148" s="1"/>
      <c r="T148" s="1"/>
      <c r="U148" s="1"/>
      <c r="V148" s="1" t="s">
        <v>39</v>
      </c>
      <c r="W148" s="1" t="s">
        <v>39</v>
      </c>
      <c r="X148" s="1" t="s">
        <v>48</v>
      </c>
      <c r="Y148">
        <v>0</v>
      </c>
      <c r="Z148" s="1"/>
      <c r="AA148" s="1"/>
      <c r="AB148" s="1"/>
      <c r="AC148" s="1"/>
    </row>
    <row r="149" spans="1:29" x14ac:dyDescent="0.3">
      <c r="A149" s="1" t="s">
        <v>606</v>
      </c>
      <c r="B149">
        <v>150</v>
      </c>
      <c r="C149" s="1" t="s">
        <v>28</v>
      </c>
      <c r="D149" s="1" t="s">
        <v>29</v>
      </c>
      <c r="E149" s="1" t="s">
        <v>104</v>
      </c>
      <c r="F149" s="1"/>
      <c r="G149" s="1"/>
      <c r="H149" s="1" t="s">
        <v>607</v>
      </c>
      <c r="I149" s="1" t="s">
        <v>608</v>
      </c>
      <c r="J149" s="1" t="s">
        <v>33</v>
      </c>
      <c r="K149" s="1" t="s">
        <v>154</v>
      </c>
      <c r="L149" s="1" t="s">
        <v>35</v>
      </c>
      <c r="M149" s="1"/>
      <c r="N149" s="1"/>
      <c r="O149" s="2">
        <v>45809</v>
      </c>
      <c r="P149" s="2">
        <v>46173</v>
      </c>
      <c r="Q149" s="1" t="s">
        <v>609</v>
      </c>
      <c r="R149" s="1" t="s">
        <v>56</v>
      </c>
      <c r="S149" s="1"/>
      <c r="T149" s="1"/>
      <c r="U149" s="1"/>
      <c r="V149" s="1" t="s">
        <v>39</v>
      </c>
      <c r="W149" s="1" t="s">
        <v>39</v>
      </c>
      <c r="X149" s="1" t="s">
        <v>48</v>
      </c>
      <c r="Y149">
        <v>0</v>
      </c>
      <c r="Z149" s="1"/>
      <c r="AA149" s="1"/>
      <c r="AB149" s="1"/>
      <c r="AC149" s="1"/>
    </row>
    <row r="150" spans="1:29" x14ac:dyDescent="0.3">
      <c r="A150" s="1" t="s">
        <v>610</v>
      </c>
      <c r="B150">
        <v>151</v>
      </c>
      <c r="C150" s="1" t="s">
        <v>28</v>
      </c>
      <c r="D150" s="1" t="s">
        <v>50</v>
      </c>
      <c r="E150" s="1" t="s">
        <v>104</v>
      </c>
      <c r="F150" s="1"/>
      <c r="G150" s="1"/>
      <c r="H150" s="1" t="s">
        <v>611</v>
      </c>
      <c r="I150" s="1" t="s">
        <v>612</v>
      </c>
      <c r="J150" s="1" t="s">
        <v>53</v>
      </c>
      <c r="K150" s="1" t="s">
        <v>138</v>
      </c>
      <c r="L150" s="1" t="s">
        <v>55</v>
      </c>
      <c r="M150" s="1"/>
      <c r="N150" s="1"/>
      <c r="O150" s="2"/>
      <c r="P150" s="2"/>
      <c r="Q150" s="1" t="s">
        <v>46</v>
      </c>
      <c r="R150" s="1" t="s">
        <v>46</v>
      </c>
      <c r="S150" s="1" t="s">
        <v>46</v>
      </c>
      <c r="T150" s="1" t="s">
        <v>46</v>
      </c>
      <c r="U150" s="1"/>
      <c r="V150" s="1" t="s">
        <v>47</v>
      </c>
      <c r="W150" s="1" t="s">
        <v>39</v>
      </c>
      <c r="X150" s="1" t="s">
        <v>48</v>
      </c>
      <c r="Y150">
        <v>0</v>
      </c>
      <c r="Z150" s="1"/>
      <c r="AA150" s="1"/>
      <c r="AB150" s="1"/>
      <c r="AC150" s="1"/>
    </row>
    <row r="151" spans="1:29" x14ac:dyDescent="0.3">
      <c r="A151" s="1" t="s">
        <v>613</v>
      </c>
      <c r="B151">
        <v>152</v>
      </c>
      <c r="C151" s="1" t="s">
        <v>28</v>
      </c>
      <c r="D151" s="1" t="s">
        <v>29</v>
      </c>
      <c r="E151" s="1" t="s">
        <v>104</v>
      </c>
      <c r="F151" s="1"/>
      <c r="G151" s="1"/>
      <c r="H151" s="1" t="s">
        <v>614</v>
      </c>
      <c r="I151" s="1" t="s">
        <v>615</v>
      </c>
      <c r="J151" s="1" t="s">
        <v>33</v>
      </c>
      <c r="K151" s="1" t="s">
        <v>280</v>
      </c>
      <c r="L151" s="1" t="s">
        <v>35</v>
      </c>
      <c r="M151" s="1"/>
      <c r="N151" s="1"/>
      <c r="O151" s="2"/>
      <c r="P151" s="2"/>
      <c r="Q151" s="1" t="s">
        <v>46</v>
      </c>
      <c r="R151" s="1" t="s">
        <v>46</v>
      </c>
      <c r="S151" s="1" t="s">
        <v>46</v>
      </c>
      <c r="T151" s="1" t="s">
        <v>46</v>
      </c>
      <c r="U151" s="1"/>
      <c r="V151" s="1" t="s">
        <v>47</v>
      </c>
      <c r="W151" s="1" t="s">
        <v>39</v>
      </c>
      <c r="X151" s="1" t="s">
        <v>48</v>
      </c>
      <c r="Y151">
        <v>0</v>
      </c>
      <c r="Z151" s="1"/>
      <c r="AA151" s="1"/>
      <c r="AB151" s="1"/>
      <c r="AC151" s="1"/>
    </row>
    <row r="152" spans="1:29" x14ac:dyDescent="0.3">
      <c r="A152" s="1" t="s">
        <v>616</v>
      </c>
      <c r="B152">
        <v>153</v>
      </c>
      <c r="C152" s="1" t="s">
        <v>28</v>
      </c>
      <c r="D152" s="1" t="s">
        <v>29</v>
      </c>
      <c r="E152" s="1" t="s">
        <v>199</v>
      </c>
      <c r="F152" s="1"/>
      <c r="G152" s="1"/>
      <c r="H152" s="1" t="s">
        <v>617</v>
      </c>
      <c r="I152" s="1" t="s">
        <v>618</v>
      </c>
      <c r="J152" s="1" t="s">
        <v>33</v>
      </c>
      <c r="K152" s="1" t="s">
        <v>275</v>
      </c>
      <c r="L152" s="1" t="s">
        <v>35</v>
      </c>
      <c r="M152" s="1"/>
      <c r="N152" s="1"/>
      <c r="O152" s="2"/>
      <c r="P152" s="2"/>
      <c r="Q152" s="1" t="s">
        <v>46</v>
      </c>
      <c r="R152" s="1" t="s">
        <v>46</v>
      </c>
      <c r="S152" s="1" t="s">
        <v>46</v>
      </c>
      <c r="T152" s="1" t="s">
        <v>46</v>
      </c>
      <c r="U152" s="1"/>
      <c r="V152" s="1" t="s">
        <v>47</v>
      </c>
      <c r="W152" s="1" t="s">
        <v>39</v>
      </c>
      <c r="X152" s="1" t="s">
        <v>48</v>
      </c>
      <c r="Y152">
        <v>0</v>
      </c>
      <c r="Z152" s="1"/>
      <c r="AA152" s="1"/>
      <c r="AB152" s="1"/>
      <c r="AC152" s="1"/>
    </row>
    <row r="153" spans="1:29" x14ac:dyDescent="0.3">
      <c r="A153" s="1" t="s">
        <v>619</v>
      </c>
      <c r="B153">
        <v>154</v>
      </c>
      <c r="C153" s="1" t="s">
        <v>28</v>
      </c>
      <c r="D153" s="1" t="s">
        <v>29</v>
      </c>
      <c r="E153" s="1" t="s">
        <v>30</v>
      </c>
      <c r="F153" s="1"/>
      <c r="G153" s="1"/>
      <c r="H153" s="1" t="s">
        <v>620</v>
      </c>
      <c r="I153" s="1" t="s">
        <v>621</v>
      </c>
      <c r="J153" s="1" t="s">
        <v>33</v>
      </c>
      <c r="K153" s="1" t="s">
        <v>622</v>
      </c>
      <c r="L153" s="1" t="s">
        <v>35</v>
      </c>
      <c r="M153" s="1"/>
      <c r="N153" s="1"/>
      <c r="O153" s="2"/>
      <c r="P153" s="2"/>
      <c r="Q153" s="1" t="s">
        <v>46</v>
      </c>
      <c r="R153" s="1" t="s">
        <v>46</v>
      </c>
      <c r="S153" s="1" t="s">
        <v>46</v>
      </c>
      <c r="T153" s="1" t="s">
        <v>46</v>
      </c>
      <c r="U153" s="1"/>
      <c r="V153" s="1" t="s">
        <v>47</v>
      </c>
      <c r="W153" s="1" t="s">
        <v>39</v>
      </c>
      <c r="X153" s="1" t="s">
        <v>48</v>
      </c>
      <c r="Y153">
        <v>0</v>
      </c>
      <c r="Z153" s="1"/>
      <c r="AA153" s="1"/>
      <c r="AB153" s="1"/>
      <c r="AC153" s="1"/>
    </row>
    <row r="154" spans="1:29" x14ac:dyDescent="0.3">
      <c r="A154" s="1" t="s">
        <v>623</v>
      </c>
      <c r="B154">
        <v>155</v>
      </c>
      <c r="C154" s="1" t="s">
        <v>28</v>
      </c>
      <c r="D154" s="1" t="s">
        <v>29</v>
      </c>
      <c r="E154" s="1" t="s">
        <v>199</v>
      </c>
      <c r="F154" s="1"/>
      <c r="G154" s="1"/>
      <c r="H154" s="1" t="s">
        <v>624</v>
      </c>
      <c r="I154" s="1" t="s">
        <v>625</v>
      </c>
      <c r="J154" s="1" t="s">
        <v>90</v>
      </c>
      <c r="K154" s="1"/>
      <c r="L154" s="1" t="s">
        <v>61</v>
      </c>
      <c r="M154" s="1"/>
      <c r="N154" s="1"/>
      <c r="O154" s="2"/>
      <c r="P154" s="2"/>
      <c r="Q154" s="1" t="s">
        <v>46</v>
      </c>
      <c r="R154" s="1" t="s">
        <v>46</v>
      </c>
      <c r="S154" s="1" t="s">
        <v>46</v>
      </c>
      <c r="T154" s="1" t="s">
        <v>46</v>
      </c>
      <c r="U154" s="1"/>
      <c r="V154" s="1" t="s">
        <v>47</v>
      </c>
      <c r="W154" s="1" t="s">
        <v>39</v>
      </c>
      <c r="X154" s="1" t="s">
        <v>48</v>
      </c>
      <c r="Y154">
        <v>0</v>
      </c>
      <c r="Z154" s="1" t="s">
        <v>79</v>
      </c>
      <c r="AA154" s="1"/>
      <c r="AB154" s="1"/>
      <c r="AC154" s="1"/>
    </row>
    <row r="155" spans="1:29" x14ac:dyDescent="0.3">
      <c r="A155" s="1" t="s">
        <v>626</v>
      </c>
      <c r="B155">
        <v>156</v>
      </c>
      <c r="C155" s="1" t="s">
        <v>28</v>
      </c>
      <c r="D155" s="1" t="s">
        <v>29</v>
      </c>
      <c r="E155" s="1" t="s">
        <v>199</v>
      </c>
      <c r="F155" s="1"/>
      <c r="G155" s="1"/>
      <c r="H155" s="1" t="s">
        <v>627</v>
      </c>
      <c r="I155" s="1" t="s">
        <v>628</v>
      </c>
      <c r="J155" s="1" t="s">
        <v>33</v>
      </c>
      <c r="K155" s="1" t="s">
        <v>275</v>
      </c>
      <c r="L155" s="1" t="s">
        <v>55</v>
      </c>
      <c r="M155" s="1"/>
      <c r="N155" s="1"/>
      <c r="O155" s="2">
        <v>45292</v>
      </c>
      <c r="P155" s="2">
        <v>46752</v>
      </c>
      <c r="Q155" s="1" t="s">
        <v>575</v>
      </c>
      <c r="R155" s="1" t="s">
        <v>576</v>
      </c>
      <c r="S155" s="1"/>
      <c r="T155" s="1"/>
      <c r="U155" s="1"/>
      <c r="V155" s="1" t="s">
        <v>39</v>
      </c>
      <c r="W155" s="1" t="s">
        <v>39</v>
      </c>
      <c r="X155" s="1" t="s">
        <v>48</v>
      </c>
      <c r="Y155">
        <v>0</v>
      </c>
      <c r="Z155" s="1"/>
      <c r="AA155" s="1"/>
      <c r="AB155" s="1"/>
      <c r="AC155" s="1"/>
    </row>
    <row r="156" spans="1:29" x14ac:dyDescent="0.3">
      <c r="A156" s="1" t="s">
        <v>629</v>
      </c>
      <c r="B156">
        <v>157</v>
      </c>
      <c r="C156" s="1" t="s">
        <v>28</v>
      </c>
      <c r="D156" s="1" t="s">
        <v>29</v>
      </c>
      <c r="E156" s="1" t="s">
        <v>199</v>
      </c>
      <c r="F156" s="1"/>
      <c r="G156" s="1"/>
      <c r="H156" s="1" t="s">
        <v>630</v>
      </c>
      <c r="I156" s="1" t="s">
        <v>631</v>
      </c>
      <c r="J156" s="1" t="s">
        <v>90</v>
      </c>
      <c r="K156" s="1"/>
      <c r="L156" s="1" t="s">
        <v>55</v>
      </c>
      <c r="M156" s="1"/>
      <c r="N156" s="1"/>
      <c r="O156" s="2"/>
      <c r="P156" s="2"/>
      <c r="Q156" s="1" t="s">
        <v>46</v>
      </c>
      <c r="R156" s="1" t="s">
        <v>46</v>
      </c>
      <c r="S156" s="1" t="s">
        <v>46</v>
      </c>
      <c r="T156" s="1" t="s">
        <v>46</v>
      </c>
      <c r="U156" s="1"/>
      <c r="V156" s="1" t="s">
        <v>47</v>
      </c>
      <c r="W156" s="1" t="s">
        <v>39</v>
      </c>
      <c r="X156" s="1" t="s">
        <v>48</v>
      </c>
      <c r="Y156">
        <v>0</v>
      </c>
      <c r="Z156" s="1" t="s">
        <v>79</v>
      </c>
      <c r="AA156" s="1"/>
      <c r="AB156" s="1"/>
      <c r="AC156" s="1"/>
    </row>
    <row r="157" spans="1:29" x14ac:dyDescent="0.3">
      <c r="A157" s="1" t="s">
        <v>632</v>
      </c>
      <c r="B157">
        <v>158</v>
      </c>
      <c r="C157" s="1" t="s">
        <v>28</v>
      </c>
      <c r="D157" s="1" t="s">
        <v>29</v>
      </c>
      <c r="E157" s="1" t="s">
        <v>199</v>
      </c>
      <c r="F157" s="1"/>
      <c r="G157" s="1"/>
      <c r="H157" s="1" t="s">
        <v>633</v>
      </c>
      <c r="I157" s="1" t="s">
        <v>634</v>
      </c>
      <c r="J157" s="1" t="s">
        <v>90</v>
      </c>
      <c r="K157" s="1"/>
      <c r="L157" s="1" t="s">
        <v>35</v>
      </c>
      <c r="M157" s="1"/>
      <c r="N157" s="1"/>
      <c r="O157" s="2"/>
      <c r="P157" s="2"/>
      <c r="Q157" s="1" t="s">
        <v>46</v>
      </c>
      <c r="R157" s="1" t="s">
        <v>46</v>
      </c>
      <c r="S157" s="1" t="s">
        <v>46</v>
      </c>
      <c r="T157" s="1" t="s">
        <v>46</v>
      </c>
      <c r="U157" s="1"/>
      <c r="V157" s="1" t="s">
        <v>47</v>
      </c>
      <c r="W157" s="1" t="s">
        <v>39</v>
      </c>
      <c r="X157" s="1" t="s">
        <v>48</v>
      </c>
      <c r="Y157">
        <v>0</v>
      </c>
      <c r="Z157" s="1" t="s">
        <v>79</v>
      </c>
      <c r="AA157" s="1"/>
      <c r="AB157" s="1"/>
      <c r="AC157" s="1"/>
    </row>
    <row r="158" spans="1:29" x14ac:dyDescent="0.3">
      <c r="A158" s="1" t="s">
        <v>635</v>
      </c>
      <c r="B158">
        <v>159</v>
      </c>
      <c r="C158" s="1" t="s">
        <v>28</v>
      </c>
      <c r="D158" s="1" t="s">
        <v>29</v>
      </c>
      <c r="E158" s="1" t="s">
        <v>199</v>
      </c>
      <c r="F158" s="1"/>
      <c r="G158" s="1"/>
      <c r="H158" s="1" t="s">
        <v>636</v>
      </c>
      <c r="I158" s="1" t="s">
        <v>637</v>
      </c>
      <c r="J158" s="1" t="s">
        <v>33</v>
      </c>
      <c r="K158" s="1" t="s">
        <v>154</v>
      </c>
      <c r="L158" s="1" t="s">
        <v>35</v>
      </c>
      <c r="M158" s="1"/>
      <c r="N158" s="1"/>
      <c r="O158" s="2">
        <v>46187</v>
      </c>
      <c r="P158" s="2">
        <v>46551</v>
      </c>
      <c r="Q158" s="1" t="s">
        <v>212</v>
      </c>
      <c r="R158" s="1" t="s">
        <v>212</v>
      </c>
      <c r="S158" s="1"/>
      <c r="T158" s="1"/>
      <c r="U158" s="1"/>
      <c r="V158" s="1" t="s">
        <v>38</v>
      </c>
      <c r="W158" s="1" t="s">
        <v>39</v>
      </c>
      <c r="X158" s="1" t="s">
        <v>40</v>
      </c>
      <c r="Y158">
        <v>1</v>
      </c>
      <c r="Z158" s="1" t="s">
        <v>41</v>
      </c>
      <c r="AA158" s="1"/>
      <c r="AB158" s="1"/>
      <c r="AC158" s="1"/>
    </row>
    <row r="159" spans="1:29" x14ac:dyDescent="0.3">
      <c r="A159" s="1" t="s">
        <v>638</v>
      </c>
      <c r="B159">
        <v>160</v>
      </c>
      <c r="C159" s="1" t="s">
        <v>28</v>
      </c>
      <c r="D159" s="1" t="s">
        <v>50</v>
      </c>
      <c r="E159" s="1" t="s">
        <v>104</v>
      </c>
      <c r="F159" s="1"/>
      <c r="G159" s="1"/>
      <c r="H159" s="1" t="s">
        <v>639</v>
      </c>
      <c r="I159" s="1" t="s">
        <v>640</v>
      </c>
      <c r="J159" s="1" t="s">
        <v>405</v>
      </c>
      <c r="K159" s="1" t="s">
        <v>406</v>
      </c>
      <c r="L159" s="1" t="s">
        <v>55</v>
      </c>
      <c r="M159" s="1"/>
      <c r="N159" s="1"/>
      <c r="O159" s="2"/>
      <c r="P159" s="2"/>
      <c r="Q159" s="1" t="s">
        <v>46</v>
      </c>
      <c r="R159" s="1" t="s">
        <v>46</v>
      </c>
      <c r="S159" s="1" t="s">
        <v>46</v>
      </c>
      <c r="T159" s="1" t="s">
        <v>46</v>
      </c>
      <c r="U159" s="1"/>
      <c r="V159" s="1" t="s">
        <v>47</v>
      </c>
      <c r="W159" s="1" t="s">
        <v>39</v>
      </c>
      <c r="X159" s="1" t="s">
        <v>48</v>
      </c>
      <c r="Y159">
        <v>0</v>
      </c>
      <c r="Z159" s="1"/>
      <c r="AA159" s="1"/>
      <c r="AB159" s="1"/>
      <c r="AC159" s="1"/>
    </row>
    <row r="160" spans="1:29" x14ac:dyDescent="0.3">
      <c r="A160" s="1" t="s">
        <v>641</v>
      </c>
      <c r="B160">
        <v>161</v>
      </c>
      <c r="C160" s="1" t="s">
        <v>28</v>
      </c>
      <c r="D160" s="1" t="s">
        <v>29</v>
      </c>
      <c r="E160" s="1" t="s">
        <v>199</v>
      </c>
      <c r="F160" s="1"/>
      <c r="G160" s="1"/>
      <c r="H160" s="1" t="s">
        <v>642</v>
      </c>
      <c r="I160" s="1" t="s">
        <v>643</v>
      </c>
      <c r="J160" s="1" t="s">
        <v>90</v>
      </c>
      <c r="K160" s="1"/>
      <c r="L160" s="1" t="s">
        <v>35</v>
      </c>
      <c r="M160" s="1"/>
      <c r="N160" s="1"/>
      <c r="O160" s="2"/>
      <c r="P160" s="2"/>
      <c r="Q160" s="1" t="s">
        <v>46</v>
      </c>
      <c r="R160" s="1" t="s">
        <v>46</v>
      </c>
      <c r="S160" s="1" t="s">
        <v>46</v>
      </c>
      <c r="T160" s="1" t="s">
        <v>46</v>
      </c>
      <c r="U160" s="1"/>
      <c r="V160" s="1" t="s">
        <v>47</v>
      </c>
      <c r="W160" s="1" t="s">
        <v>39</v>
      </c>
      <c r="X160" s="1" t="s">
        <v>48</v>
      </c>
      <c r="Y160">
        <v>0</v>
      </c>
      <c r="Z160" s="1" t="s">
        <v>79</v>
      </c>
      <c r="AA160" s="1"/>
      <c r="AB160" s="1"/>
      <c r="AC160" s="1"/>
    </row>
    <row r="161" spans="1:29" x14ac:dyDescent="0.3">
      <c r="A161" s="1" t="s">
        <v>644</v>
      </c>
      <c r="B161">
        <v>162</v>
      </c>
      <c r="C161" s="1" t="s">
        <v>28</v>
      </c>
      <c r="D161" s="1" t="s">
        <v>65</v>
      </c>
      <c r="E161" s="1" t="s">
        <v>30</v>
      </c>
      <c r="F161" s="1"/>
      <c r="G161" s="1"/>
      <c r="H161" s="1" t="s">
        <v>645</v>
      </c>
      <c r="I161" s="1" t="s">
        <v>646</v>
      </c>
      <c r="J161" s="1" t="s">
        <v>259</v>
      </c>
      <c r="K161" s="1" t="s">
        <v>259</v>
      </c>
      <c r="L161" s="1" t="s">
        <v>55</v>
      </c>
      <c r="M161" s="1"/>
      <c r="N161" s="1"/>
      <c r="O161" s="2">
        <v>46143</v>
      </c>
      <c r="P161" s="2">
        <v>46873</v>
      </c>
      <c r="Q161" s="1" t="s">
        <v>77</v>
      </c>
      <c r="R161" s="1" t="s">
        <v>56</v>
      </c>
      <c r="S161" s="1"/>
      <c r="T161" s="1"/>
      <c r="U161" s="1"/>
      <c r="V161" s="1" t="s">
        <v>39</v>
      </c>
      <c r="W161" s="1" t="s">
        <v>39</v>
      </c>
      <c r="X161" s="1" t="s">
        <v>48</v>
      </c>
      <c r="Y161">
        <v>0</v>
      </c>
      <c r="Z161" s="1"/>
      <c r="AA161" s="1"/>
      <c r="AB161" s="1"/>
      <c r="AC161" s="1"/>
    </row>
    <row r="162" spans="1:29" x14ac:dyDescent="0.3">
      <c r="A162" s="1" t="s">
        <v>647</v>
      </c>
      <c r="B162">
        <v>163</v>
      </c>
      <c r="C162" s="1" t="s">
        <v>28</v>
      </c>
      <c r="D162" s="1" t="s">
        <v>65</v>
      </c>
      <c r="E162" s="1" t="s">
        <v>30</v>
      </c>
      <c r="F162" s="1"/>
      <c r="G162" s="1"/>
      <c r="H162" s="1" t="s">
        <v>648</v>
      </c>
      <c r="I162" s="1" t="s">
        <v>649</v>
      </c>
      <c r="J162" s="1" t="s">
        <v>112</v>
      </c>
      <c r="K162" s="1" t="s">
        <v>113</v>
      </c>
      <c r="L162" s="1" t="s">
        <v>55</v>
      </c>
      <c r="M162" s="1"/>
      <c r="N162" s="1"/>
      <c r="O162" s="2"/>
      <c r="P162" s="2"/>
      <c r="Q162" s="1" t="s">
        <v>46</v>
      </c>
      <c r="R162" s="1" t="s">
        <v>46</v>
      </c>
      <c r="S162" s="1" t="s">
        <v>46</v>
      </c>
      <c r="T162" s="1" t="s">
        <v>46</v>
      </c>
      <c r="U162" s="1"/>
      <c r="V162" s="1" t="s">
        <v>47</v>
      </c>
      <c r="W162" s="1" t="s">
        <v>39</v>
      </c>
      <c r="X162" s="1" t="s">
        <v>48</v>
      </c>
      <c r="Y162">
        <v>0</v>
      </c>
      <c r="Z162" s="1"/>
      <c r="AA162" s="1"/>
      <c r="AB162" s="1"/>
      <c r="AC162" s="1"/>
    </row>
    <row r="163" spans="1:29" x14ac:dyDescent="0.3">
      <c r="A163" s="1" t="s">
        <v>650</v>
      </c>
      <c r="B163">
        <v>164</v>
      </c>
      <c r="C163" s="1" t="s">
        <v>28</v>
      </c>
      <c r="D163" s="1" t="s">
        <v>65</v>
      </c>
      <c r="E163" s="1" t="s">
        <v>199</v>
      </c>
      <c r="F163" s="1"/>
      <c r="G163" s="1"/>
      <c r="H163" s="1" t="s">
        <v>651</v>
      </c>
      <c r="I163" s="1" t="s">
        <v>652</v>
      </c>
      <c r="J163" s="1" t="s">
        <v>68</v>
      </c>
      <c r="K163" s="1" t="s">
        <v>413</v>
      </c>
      <c r="L163" s="1" t="s">
        <v>55</v>
      </c>
      <c r="M163" s="1"/>
      <c r="N163" s="1"/>
      <c r="O163" s="2">
        <v>44523</v>
      </c>
      <c r="P163" s="2">
        <v>44957</v>
      </c>
      <c r="Q163" s="1" t="s">
        <v>77</v>
      </c>
      <c r="R163" s="1" t="s">
        <v>653</v>
      </c>
      <c r="S163" s="1"/>
      <c r="T163" s="1"/>
      <c r="U163" s="1"/>
      <c r="V163" s="1" t="s">
        <v>39</v>
      </c>
      <c r="W163" s="1" t="s">
        <v>39</v>
      </c>
      <c r="X163" s="1" t="s">
        <v>48</v>
      </c>
      <c r="Y163">
        <v>0</v>
      </c>
      <c r="Z163" s="1"/>
      <c r="AA163" s="1"/>
      <c r="AB163" s="1"/>
      <c r="AC163" s="1"/>
    </row>
    <row r="164" spans="1:29" x14ac:dyDescent="0.3">
      <c r="A164" s="1" t="s">
        <v>654</v>
      </c>
      <c r="B164">
        <v>165</v>
      </c>
      <c r="C164" s="1" t="s">
        <v>28</v>
      </c>
      <c r="D164" s="1" t="s">
        <v>81</v>
      </c>
      <c r="E164" s="1" t="s">
        <v>199</v>
      </c>
      <c r="F164" s="1"/>
      <c r="G164" s="1"/>
      <c r="H164" s="1" t="s">
        <v>655</v>
      </c>
      <c r="I164" s="1" t="s">
        <v>656</v>
      </c>
      <c r="J164" s="1" t="s">
        <v>210</v>
      </c>
      <c r="K164" s="1" t="s">
        <v>601</v>
      </c>
      <c r="L164" s="1" t="s">
        <v>55</v>
      </c>
      <c r="M164" s="1"/>
      <c r="N164" s="1"/>
      <c r="O164" s="2"/>
      <c r="P164" s="2"/>
      <c r="Q164" s="1"/>
      <c r="R164" s="1"/>
      <c r="S164" s="1"/>
      <c r="T164" s="1"/>
      <c r="U164" s="1"/>
      <c r="V164" s="1" t="s">
        <v>62</v>
      </c>
      <c r="W164" s="1" t="s">
        <v>39</v>
      </c>
      <c r="X164" s="1" t="s">
        <v>40</v>
      </c>
      <c r="Y164">
        <v>1</v>
      </c>
      <c r="Z164" s="1" t="s">
        <v>114</v>
      </c>
      <c r="AA164" s="1"/>
      <c r="AB164" s="1"/>
      <c r="AC164" s="1"/>
    </row>
    <row r="165" spans="1:29" x14ac:dyDescent="0.3">
      <c r="A165" s="1" t="s">
        <v>657</v>
      </c>
      <c r="B165">
        <v>166</v>
      </c>
      <c r="C165" s="1" t="s">
        <v>28</v>
      </c>
      <c r="D165" s="1" t="s">
        <v>65</v>
      </c>
      <c r="E165" s="1" t="s">
        <v>30</v>
      </c>
      <c r="F165" s="1"/>
      <c r="G165" s="1"/>
      <c r="H165" s="1" t="s">
        <v>658</v>
      </c>
      <c r="I165" s="1" t="s">
        <v>659</v>
      </c>
      <c r="J165" s="1" t="s">
        <v>112</v>
      </c>
      <c r="K165" s="1" t="s">
        <v>413</v>
      </c>
      <c r="L165" s="1" t="s">
        <v>55</v>
      </c>
      <c r="M165" s="1"/>
      <c r="N165" s="1"/>
      <c r="O165" s="2">
        <v>45292</v>
      </c>
      <c r="P165" s="2">
        <v>46752</v>
      </c>
      <c r="Q165" s="1" t="s">
        <v>575</v>
      </c>
      <c r="R165" s="1" t="s">
        <v>576</v>
      </c>
      <c r="S165" s="1"/>
      <c r="T165" s="1"/>
      <c r="U165" s="1"/>
      <c r="V165" s="1" t="s">
        <v>39</v>
      </c>
      <c r="W165" s="1" t="s">
        <v>39</v>
      </c>
      <c r="X165" s="1" t="s">
        <v>48</v>
      </c>
      <c r="Y165">
        <v>0</v>
      </c>
      <c r="Z165" s="1"/>
      <c r="AA165" s="1"/>
      <c r="AB165" s="1"/>
      <c r="AC165" s="1"/>
    </row>
    <row r="166" spans="1:29" x14ac:dyDescent="0.3">
      <c r="A166" s="1" t="s">
        <v>660</v>
      </c>
      <c r="B166">
        <v>167</v>
      </c>
      <c r="C166" s="1" t="s">
        <v>28</v>
      </c>
      <c r="D166" s="1" t="s">
        <v>65</v>
      </c>
      <c r="E166" s="1" t="s">
        <v>199</v>
      </c>
      <c r="F166" s="1"/>
      <c r="G166" s="1"/>
      <c r="H166" s="1" t="s">
        <v>661</v>
      </c>
      <c r="I166" s="1" t="s">
        <v>662</v>
      </c>
      <c r="J166" s="1" t="s">
        <v>158</v>
      </c>
      <c r="K166" s="1" t="s">
        <v>158</v>
      </c>
      <c r="L166" s="1" t="s">
        <v>55</v>
      </c>
      <c r="M166" s="1"/>
      <c r="N166" s="1"/>
      <c r="O166" s="2">
        <v>45292</v>
      </c>
      <c r="P166" s="2">
        <v>46752</v>
      </c>
      <c r="Q166" s="1" t="s">
        <v>575</v>
      </c>
      <c r="R166" s="1" t="s">
        <v>576</v>
      </c>
      <c r="S166" s="1"/>
      <c r="T166" s="1"/>
      <c r="U166" s="1"/>
      <c r="V166" s="1" t="s">
        <v>39</v>
      </c>
      <c r="W166" s="1" t="s">
        <v>39</v>
      </c>
      <c r="X166" s="1" t="s">
        <v>48</v>
      </c>
      <c r="Y166">
        <v>0</v>
      </c>
      <c r="Z166" s="1"/>
      <c r="AA166" s="1"/>
      <c r="AB166" s="1"/>
      <c r="AC166" s="1"/>
    </row>
    <row r="167" spans="1:29" x14ac:dyDescent="0.3">
      <c r="A167" s="1" t="s">
        <v>663</v>
      </c>
      <c r="B167">
        <v>168</v>
      </c>
      <c r="C167" s="1" t="s">
        <v>28</v>
      </c>
      <c r="D167" s="1" t="s">
        <v>50</v>
      </c>
      <c r="E167" s="1" t="s">
        <v>104</v>
      </c>
      <c r="F167" s="1"/>
      <c r="G167" s="1"/>
      <c r="H167" s="1" t="s">
        <v>664</v>
      </c>
      <c r="I167" s="1" t="s">
        <v>665</v>
      </c>
      <c r="J167" s="1" t="s">
        <v>53</v>
      </c>
      <c r="K167" s="1" t="s">
        <v>500</v>
      </c>
      <c r="L167" s="1" t="s">
        <v>55</v>
      </c>
      <c r="M167" s="1"/>
      <c r="N167" s="1"/>
      <c r="O167" s="2">
        <v>45299</v>
      </c>
      <c r="P167" s="2">
        <v>46752</v>
      </c>
      <c r="Q167" s="1" t="s">
        <v>77</v>
      </c>
      <c r="R167" s="1" t="s">
        <v>71</v>
      </c>
      <c r="S167" s="1"/>
      <c r="T167" s="1"/>
      <c r="U167" s="1"/>
      <c r="V167" s="1" t="s">
        <v>39</v>
      </c>
      <c r="W167" s="1" t="s">
        <v>39</v>
      </c>
      <c r="X167" s="1" t="s">
        <v>48</v>
      </c>
      <c r="Y167">
        <v>0</v>
      </c>
      <c r="Z167" s="1"/>
      <c r="AA167" s="1"/>
      <c r="AB167" s="1"/>
      <c r="AC167" s="1"/>
    </row>
    <row r="168" spans="1:29" x14ac:dyDescent="0.3">
      <c r="A168" s="1" t="s">
        <v>666</v>
      </c>
      <c r="B168">
        <v>169</v>
      </c>
      <c r="C168" s="1" t="s">
        <v>28</v>
      </c>
      <c r="D168" s="1" t="s">
        <v>81</v>
      </c>
      <c r="E168" s="1" t="s">
        <v>199</v>
      </c>
      <c r="F168" s="1"/>
      <c r="G168" s="1"/>
      <c r="H168" s="1" t="s">
        <v>667</v>
      </c>
      <c r="I168" s="1" t="s">
        <v>668</v>
      </c>
      <c r="J168" s="1" t="s">
        <v>210</v>
      </c>
      <c r="K168" s="1" t="s">
        <v>669</v>
      </c>
      <c r="L168" s="1" t="s">
        <v>55</v>
      </c>
      <c r="M168" s="1"/>
      <c r="N168" s="1"/>
      <c r="O168" s="2">
        <v>45566</v>
      </c>
      <c r="P168" s="2">
        <v>46873</v>
      </c>
      <c r="Q168" s="1" t="s">
        <v>77</v>
      </c>
      <c r="R168" s="1" t="s">
        <v>101</v>
      </c>
      <c r="S168" s="1"/>
      <c r="T168" s="1"/>
      <c r="U168" s="1"/>
      <c r="V168" s="1" t="s">
        <v>39</v>
      </c>
      <c r="W168" s="1" t="s">
        <v>39</v>
      </c>
      <c r="X168" s="1" t="s">
        <v>48</v>
      </c>
      <c r="Y168">
        <v>0</v>
      </c>
      <c r="Z168" s="1"/>
      <c r="AA168" s="1"/>
      <c r="AB168" s="1"/>
      <c r="AC168" s="1"/>
    </row>
    <row r="169" spans="1:29" x14ac:dyDescent="0.3">
      <c r="A169" s="1" t="s">
        <v>670</v>
      </c>
      <c r="B169">
        <v>170</v>
      </c>
      <c r="C169" s="1" t="s">
        <v>28</v>
      </c>
      <c r="D169" s="1" t="s">
        <v>65</v>
      </c>
      <c r="E169" s="1" t="s">
        <v>104</v>
      </c>
      <c r="F169" s="1"/>
      <c r="G169" s="1"/>
      <c r="H169" s="1" t="s">
        <v>671</v>
      </c>
      <c r="I169" s="1" t="s">
        <v>672</v>
      </c>
      <c r="J169" s="1" t="s">
        <v>158</v>
      </c>
      <c r="K169" s="1" t="s">
        <v>673</v>
      </c>
      <c r="L169" s="1" t="s">
        <v>55</v>
      </c>
      <c r="M169" s="1"/>
      <c r="N169" s="1"/>
      <c r="O169" s="2"/>
      <c r="P169" s="2"/>
      <c r="Q169" s="1" t="s">
        <v>46</v>
      </c>
      <c r="R169" s="1" t="s">
        <v>46</v>
      </c>
      <c r="S169" s="1" t="s">
        <v>46</v>
      </c>
      <c r="T169" s="1" t="s">
        <v>46</v>
      </c>
      <c r="U169" s="1"/>
      <c r="V169" s="1" t="s">
        <v>47</v>
      </c>
      <c r="W169" s="1" t="s">
        <v>39</v>
      </c>
      <c r="X169" s="1" t="s">
        <v>48</v>
      </c>
      <c r="Y169">
        <v>0</v>
      </c>
      <c r="Z169" s="1"/>
      <c r="AA169" s="1"/>
      <c r="AB169" s="1"/>
      <c r="AC169" s="1"/>
    </row>
    <row r="170" spans="1:29" x14ac:dyDescent="0.3">
      <c r="A170" s="1" t="s">
        <v>674</v>
      </c>
      <c r="B170">
        <v>171</v>
      </c>
      <c r="C170" s="1" t="s">
        <v>28</v>
      </c>
      <c r="D170" s="1" t="s">
        <v>103</v>
      </c>
      <c r="E170" s="1" t="s">
        <v>199</v>
      </c>
      <c r="F170" s="1"/>
      <c r="G170" s="1"/>
      <c r="H170" s="1" t="s">
        <v>675</v>
      </c>
      <c r="I170" s="1" t="s">
        <v>676</v>
      </c>
      <c r="J170" s="1" t="s">
        <v>107</v>
      </c>
      <c r="K170" s="1"/>
      <c r="L170" s="1" t="s">
        <v>35</v>
      </c>
      <c r="M170" s="1"/>
      <c r="N170" s="1"/>
      <c r="O170" s="2"/>
      <c r="P170" s="2"/>
      <c r="Q170" s="1" t="s">
        <v>46</v>
      </c>
      <c r="R170" s="1" t="s">
        <v>46</v>
      </c>
      <c r="S170" s="1" t="s">
        <v>46</v>
      </c>
      <c r="T170" s="1" t="s">
        <v>46</v>
      </c>
      <c r="U170" s="1"/>
      <c r="V170" s="1" t="s">
        <v>47</v>
      </c>
      <c r="W170" s="1" t="s">
        <v>39</v>
      </c>
      <c r="X170" s="1" t="s">
        <v>48</v>
      </c>
      <c r="Y170">
        <v>0</v>
      </c>
      <c r="Z170" s="1" t="s">
        <v>79</v>
      </c>
      <c r="AA170" s="1"/>
      <c r="AB170" s="1"/>
      <c r="AC170" s="1"/>
    </row>
    <row r="171" spans="1:29" x14ac:dyDescent="0.3">
      <c r="A171" s="1" t="s">
        <v>677</v>
      </c>
      <c r="B171">
        <v>172</v>
      </c>
      <c r="C171" s="1" t="s">
        <v>28</v>
      </c>
      <c r="D171" s="1" t="s">
        <v>50</v>
      </c>
      <c r="E171" s="1" t="s">
        <v>104</v>
      </c>
      <c r="F171" s="1"/>
      <c r="G171" s="1"/>
      <c r="H171" s="1" t="s">
        <v>678</v>
      </c>
      <c r="I171" s="1" t="s">
        <v>679</v>
      </c>
      <c r="J171" s="1" t="s">
        <v>53</v>
      </c>
      <c r="K171" s="1" t="s">
        <v>138</v>
      </c>
      <c r="L171" s="1" t="s">
        <v>55</v>
      </c>
      <c r="M171" s="1"/>
      <c r="N171" s="1" t="s">
        <v>680</v>
      </c>
      <c r="O171" s="2">
        <v>45299</v>
      </c>
      <c r="P171" s="2">
        <v>46752</v>
      </c>
      <c r="Q171" s="1" t="s">
        <v>77</v>
      </c>
      <c r="R171" s="1" t="s">
        <v>71</v>
      </c>
      <c r="S171" s="1"/>
      <c r="T171" s="1"/>
      <c r="U171" s="1"/>
      <c r="V171" s="1" t="s">
        <v>39</v>
      </c>
      <c r="W171" s="1" t="s">
        <v>39</v>
      </c>
      <c r="X171" s="1" t="s">
        <v>48</v>
      </c>
      <c r="Y171">
        <v>0</v>
      </c>
      <c r="Z171" s="1"/>
      <c r="AA171" s="1"/>
      <c r="AB171" s="1"/>
      <c r="AC171" s="1"/>
    </row>
    <row r="172" spans="1:29" x14ac:dyDescent="0.3">
      <c r="A172" s="1" t="s">
        <v>681</v>
      </c>
      <c r="B172">
        <v>173</v>
      </c>
      <c r="C172" s="1" t="s">
        <v>28</v>
      </c>
      <c r="D172" s="1" t="s">
        <v>65</v>
      </c>
      <c r="E172" s="1" t="s">
        <v>30</v>
      </c>
      <c r="F172" s="1"/>
      <c r="G172" s="1"/>
      <c r="H172" s="1" t="s">
        <v>682</v>
      </c>
      <c r="I172" s="1" t="s">
        <v>683</v>
      </c>
      <c r="J172" s="1" t="s">
        <v>112</v>
      </c>
      <c r="K172" s="1" t="s">
        <v>113</v>
      </c>
      <c r="L172" s="1" t="s">
        <v>55</v>
      </c>
      <c r="M172" s="1"/>
      <c r="N172" s="1"/>
      <c r="O172" s="2">
        <v>44621</v>
      </c>
      <c r="P172" s="2">
        <v>46174</v>
      </c>
      <c r="Q172" s="1" t="s">
        <v>77</v>
      </c>
      <c r="R172" s="1" t="s">
        <v>71</v>
      </c>
      <c r="S172" s="1"/>
      <c r="T172" s="1"/>
      <c r="U172" s="1"/>
      <c r="V172" s="1" t="s">
        <v>39</v>
      </c>
      <c r="W172" s="1" t="s">
        <v>39</v>
      </c>
      <c r="X172" s="1" t="s">
        <v>48</v>
      </c>
      <c r="Y172">
        <v>0</v>
      </c>
      <c r="Z172" s="1"/>
      <c r="AA172" s="1"/>
      <c r="AB172" s="1"/>
      <c r="AC172" s="1"/>
    </row>
    <row r="173" spans="1:29" x14ac:dyDescent="0.3">
      <c r="A173" s="1" t="s">
        <v>684</v>
      </c>
      <c r="B173">
        <v>174</v>
      </c>
      <c r="C173" s="1" t="s">
        <v>28</v>
      </c>
      <c r="D173" s="1" t="s">
        <v>29</v>
      </c>
      <c r="E173" s="1" t="s">
        <v>199</v>
      </c>
      <c r="F173" s="1"/>
      <c r="G173" s="1"/>
      <c r="H173" s="1" t="s">
        <v>685</v>
      </c>
      <c r="I173" s="1" t="s">
        <v>686</v>
      </c>
      <c r="J173" s="1" t="s">
        <v>33</v>
      </c>
      <c r="K173" s="1" t="s">
        <v>447</v>
      </c>
      <c r="L173" s="1" t="s">
        <v>55</v>
      </c>
      <c r="M173" s="1"/>
      <c r="N173" s="1"/>
      <c r="O173" s="2"/>
      <c r="P173" s="2"/>
      <c r="Q173" s="1"/>
      <c r="R173" s="1"/>
      <c r="S173" s="1"/>
      <c r="T173" s="1" t="s">
        <v>687</v>
      </c>
      <c r="U173" s="1"/>
      <c r="V173" s="1" t="s">
        <v>40</v>
      </c>
      <c r="W173" s="1" t="s">
        <v>39</v>
      </c>
      <c r="X173" s="1" t="s">
        <v>40</v>
      </c>
      <c r="Y173">
        <v>1</v>
      </c>
      <c r="Z173" s="1" t="s">
        <v>391</v>
      </c>
      <c r="AA173" s="1"/>
      <c r="AB173" s="1"/>
      <c r="AC173" s="1"/>
    </row>
    <row r="174" spans="1:29" x14ac:dyDescent="0.3">
      <c r="A174" s="1" t="s">
        <v>688</v>
      </c>
      <c r="B174">
        <v>175</v>
      </c>
      <c r="C174" s="1" t="s">
        <v>28</v>
      </c>
      <c r="D174" s="1" t="s">
        <v>29</v>
      </c>
      <c r="E174" s="1" t="s">
        <v>199</v>
      </c>
      <c r="F174" s="1"/>
      <c r="G174" s="1"/>
      <c r="H174" s="1" t="s">
        <v>689</v>
      </c>
      <c r="I174" s="1" t="s">
        <v>690</v>
      </c>
      <c r="J174" s="1" t="s">
        <v>33</v>
      </c>
      <c r="K174" s="1" t="s">
        <v>275</v>
      </c>
      <c r="L174" s="1" t="s">
        <v>35</v>
      </c>
      <c r="M174" s="1"/>
      <c r="N174" s="1"/>
      <c r="O174" s="2"/>
      <c r="P174" s="2"/>
      <c r="Q174" s="1"/>
      <c r="R174" s="1"/>
      <c r="S174" s="1"/>
      <c r="T174" s="1"/>
      <c r="U174" s="1"/>
      <c r="V174" s="1" t="s">
        <v>62</v>
      </c>
      <c r="W174" s="1" t="s">
        <v>39</v>
      </c>
      <c r="X174" s="1" t="s">
        <v>40</v>
      </c>
      <c r="Y174">
        <v>1</v>
      </c>
      <c r="Z174" s="1" t="s">
        <v>114</v>
      </c>
      <c r="AA174" s="1"/>
      <c r="AB174" s="1"/>
      <c r="AC174" s="1"/>
    </row>
    <row r="175" spans="1:29" x14ac:dyDescent="0.3">
      <c r="A175" s="1" t="s">
        <v>691</v>
      </c>
      <c r="B175">
        <v>176</v>
      </c>
      <c r="C175" s="1" t="s">
        <v>28</v>
      </c>
      <c r="D175" s="1" t="s">
        <v>29</v>
      </c>
      <c r="E175" s="1" t="s">
        <v>104</v>
      </c>
      <c r="F175" s="1"/>
      <c r="G175" s="1"/>
      <c r="H175" s="1" t="s">
        <v>692</v>
      </c>
      <c r="I175" s="1" t="s">
        <v>693</v>
      </c>
      <c r="J175" s="1" t="s">
        <v>33</v>
      </c>
      <c r="K175" s="1" t="s">
        <v>280</v>
      </c>
      <c r="L175" s="1" t="s">
        <v>35</v>
      </c>
      <c r="M175" s="1"/>
      <c r="N175" s="1"/>
      <c r="O175" s="2"/>
      <c r="P175" s="2"/>
      <c r="Q175" s="1" t="s">
        <v>46</v>
      </c>
      <c r="R175" s="1" t="s">
        <v>46</v>
      </c>
      <c r="S175" s="1" t="s">
        <v>46</v>
      </c>
      <c r="T175" s="1" t="s">
        <v>46</v>
      </c>
      <c r="U175" s="1"/>
      <c r="V175" s="1" t="s">
        <v>47</v>
      </c>
      <c r="W175" s="1" t="s">
        <v>39</v>
      </c>
      <c r="X175" s="1" t="s">
        <v>48</v>
      </c>
      <c r="Y175">
        <v>0</v>
      </c>
      <c r="Z175" s="1"/>
      <c r="AA175" s="1"/>
      <c r="AB175" s="1"/>
      <c r="AC175" s="1"/>
    </row>
    <row r="176" spans="1:29" x14ac:dyDescent="0.3">
      <c r="A176" s="1" t="s">
        <v>694</v>
      </c>
      <c r="B176">
        <v>177</v>
      </c>
      <c r="C176" s="1" t="s">
        <v>28</v>
      </c>
      <c r="D176" s="1" t="s">
        <v>50</v>
      </c>
      <c r="E176" s="1" t="s">
        <v>104</v>
      </c>
      <c r="F176" s="1"/>
      <c r="G176" s="1"/>
      <c r="H176" s="1" t="s">
        <v>695</v>
      </c>
      <c r="I176" s="1" t="s">
        <v>696</v>
      </c>
      <c r="J176" s="1" t="s">
        <v>405</v>
      </c>
      <c r="K176" s="1" t="s">
        <v>406</v>
      </c>
      <c r="L176" s="1" t="s">
        <v>55</v>
      </c>
      <c r="M176" s="1"/>
      <c r="N176" s="1"/>
      <c r="O176" s="2">
        <v>43867</v>
      </c>
      <c r="P176" s="2">
        <v>46387</v>
      </c>
      <c r="Q176" s="1" t="s">
        <v>77</v>
      </c>
      <c r="R176" s="1" t="s">
        <v>101</v>
      </c>
      <c r="S176" s="1"/>
      <c r="T176" s="1"/>
      <c r="U176" s="1"/>
      <c r="V176" s="1" t="s">
        <v>39</v>
      </c>
      <c r="W176" s="1" t="s">
        <v>39</v>
      </c>
      <c r="X176" s="1" t="s">
        <v>48</v>
      </c>
      <c r="Y176">
        <v>0</v>
      </c>
      <c r="Z176" s="1"/>
      <c r="AA176" s="1"/>
      <c r="AB176" s="1"/>
      <c r="AC176" s="1"/>
    </row>
    <row r="177" spans="1:29" x14ac:dyDescent="0.3">
      <c r="A177" s="1" t="s">
        <v>697</v>
      </c>
      <c r="B177">
        <v>178</v>
      </c>
      <c r="C177" s="1" t="s">
        <v>28</v>
      </c>
      <c r="D177" s="1" t="s">
        <v>50</v>
      </c>
      <c r="E177" s="1" t="s">
        <v>104</v>
      </c>
      <c r="F177" s="1"/>
      <c r="G177" s="1"/>
      <c r="H177" s="1" t="s">
        <v>698</v>
      </c>
      <c r="I177" s="1" t="s">
        <v>699</v>
      </c>
      <c r="J177" s="1" t="s">
        <v>53</v>
      </c>
      <c r="K177" s="1" t="s">
        <v>500</v>
      </c>
      <c r="L177" s="1" t="s">
        <v>55</v>
      </c>
      <c r="M177" s="1"/>
      <c r="N177" s="1"/>
      <c r="O177" s="2">
        <v>44637</v>
      </c>
      <c r="P177" s="2"/>
      <c r="Q177" s="1" t="s">
        <v>193</v>
      </c>
      <c r="R177" s="1" t="s">
        <v>71</v>
      </c>
      <c r="S177" s="1"/>
      <c r="T177" s="1" t="s">
        <v>700</v>
      </c>
      <c r="U177" s="1"/>
      <c r="V177" s="1" t="s">
        <v>40</v>
      </c>
      <c r="W177" s="1" t="s">
        <v>39</v>
      </c>
      <c r="X177" s="1" t="s">
        <v>40</v>
      </c>
      <c r="Y177">
        <v>2</v>
      </c>
      <c r="Z177" s="1" t="s">
        <v>701</v>
      </c>
      <c r="AA177" s="1"/>
      <c r="AB177" s="1"/>
      <c r="AC177" s="1"/>
    </row>
    <row r="178" spans="1:29" x14ac:dyDescent="0.3">
      <c r="A178" s="1" t="s">
        <v>702</v>
      </c>
      <c r="B178">
        <v>179</v>
      </c>
      <c r="C178" s="1" t="s">
        <v>28</v>
      </c>
      <c r="D178" s="1" t="s">
        <v>65</v>
      </c>
      <c r="E178" s="1" t="s">
        <v>199</v>
      </c>
      <c r="F178" s="1"/>
      <c r="G178" s="1"/>
      <c r="H178" s="1" t="s">
        <v>703</v>
      </c>
      <c r="I178" s="1" t="s">
        <v>704</v>
      </c>
      <c r="J178" s="1" t="s">
        <v>68</v>
      </c>
      <c r="K178" s="1" t="s">
        <v>413</v>
      </c>
      <c r="L178" s="1" t="s">
        <v>55</v>
      </c>
      <c r="M178" s="1"/>
      <c r="N178" s="1"/>
      <c r="O178" s="2"/>
      <c r="P178" s="2"/>
      <c r="Q178" s="1" t="s">
        <v>46</v>
      </c>
      <c r="R178" s="1" t="s">
        <v>46</v>
      </c>
      <c r="S178" s="1" t="s">
        <v>46</v>
      </c>
      <c r="T178" s="1" t="s">
        <v>46</v>
      </c>
      <c r="U178" s="1"/>
      <c r="V178" s="1" t="s">
        <v>47</v>
      </c>
      <c r="W178" s="1" t="s">
        <v>39</v>
      </c>
      <c r="X178" s="1" t="s">
        <v>48</v>
      </c>
      <c r="Y178">
        <v>0</v>
      </c>
      <c r="Z178" s="1"/>
      <c r="AA178" s="1"/>
      <c r="AB178" s="1"/>
      <c r="AC178" s="1"/>
    </row>
    <row r="179" spans="1:29" x14ac:dyDescent="0.3">
      <c r="A179" s="1" t="s">
        <v>705</v>
      </c>
      <c r="B179">
        <v>180</v>
      </c>
      <c r="C179" s="1" t="s">
        <v>28</v>
      </c>
      <c r="D179" s="1" t="s">
        <v>120</v>
      </c>
      <c r="E179" s="1" t="s">
        <v>30</v>
      </c>
      <c r="F179" s="1"/>
      <c r="G179" s="1"/>
      <c r="H179" s="1" t="s">
        <v>706</v>
      </c>
      <c r="I179" s="1" t="s">
        <v>707</v>
      </c>
      <c r="J179" s="1" t="s">
        <v>127</v>
      </c>
      <c r="K179" s="1" t="s">
        <v>127</v>
      </c>
      <c r="L179" s="1" t="s">
        <v>55</v>
      </c>
      <c r="M179" s="1"/>
      <c r="N179" s="1"/>
      <c r="O179" s="2">
        <v>43368</v>
      </c>
      <c r="P179" s="2"/>
      <c r="Q179" s="1" t="s">
        <v>77</v>
      </c>
      <c r="R179" s="1" t="s">
        <v>56</v>
      </c>
      <c r="S179" s="1"/>
      <c r="T179" s="1" t="s">
        <v>78</v>
      </c>
      <c r="U179" s="1"/>
      <c r="V179" s="1" t="s">
        <v>39</v>
      </c>
      <c r="W179" s="1" t="s">
        <v>39</v>
      </c>
      <c r="X179" s="1" t="s">
        <v>48</v>
      </c>
      <c r="Y179">
        <v>0</v>
      </c>
      <c r="Z179" s="1"/>
      <c r="AA179" s="1"/>
      <c r="AB179" s="1"/>
      <c r="AC179" s="1"/>
    </row>
    <row r="180" spans="1:29" x14ac:dyDescent="0.3">
      <c r="A180" s="1" t="s">
        <v>708</v>
      </c>
      <c r="B180">
        <v>181</v>
      </c>
      <c r="C180" s="1" t="s">
        <v>28</v>
      </c>
      <c r="D180" s="1" t="s">
        <v>50</v>
      </c>
      <c r="E180" s="1" t="s">
        <v>30</v>
      </c>
      <c r="F180" s="1"/>
      <c r="G180" s="1"/>
      <c r="H180" s="1" t="s">
        <v>709</v>
      </c>
      <c r="I180" s="1" t="s">
        <v>710</v>
      </c>
      <c r="J180" s="1" t="s">
        <v>53</v>
      </c>
      <c r="K180" s="1" t="s">
        <v>138</v>
      </c>
      <c r="L180" s="1" t="s">
        <v>55</v>
      </c>
      <c r="M180" s="1"/>
      <c r="N180" s="1"/>
      <c r="O180" s="2">
        <v>43872</v>
      </c>
      <c r="P180" s="2"/>
      <c r="Q180" s="1" t="s">
        <v>77</v>
      </c>
      <c r="R180" s="1" t="s">
        <v>310</v>
      </c>
      <c r="S180" s="1"/>
      <c r="T180" s="1" t="s">
        <v>78</v>
      </c>
      <c r="U180" s="1"/>
      <c r="V180" s="1" t="s">
        <v>39</v>
      </c>
      <c r="W180" s="1" t="s">
        <v>39</v>
      </c>
      <c r="X180" s="1" t="s">
        <v>48</v>
      </c>
      <c r="Y180">
        <v>0</v>
      </c>
      <c r="Z180" s="1"/>
      <c r="AA180" s="1"/>
      <c r="AB180" s="1"/>
      <c r="AC180" s="1"/>
    </row>
    <row r="181" spans="1:29" x14ac:dyDescent="0.3">
      <c r="A181" s="1" t="s">
        <v>711</v>
      </c>
      <c r="B181">
        <v>182</v>
      </c>
      <c r="C181" s="1" t="s">
        <v>28</v>
      </c>
      <c r="D181" s="1" t="s">
        <v>120</v>
      </c>
      <c r="E181" s="1" t="s">
        <v>30</v>
      </c>
      <c r="F181" s="1"/>
      <c r="G181" s="1"/>
      <c r="H181" s="1" t="s">
        <v>712</v>
      </c>
      <c r="I181" s="1" t="s">
        <v>713</v>
      </c>
      <c r="J181" s="1" t="s">
        <v>127</v>
      </c>
      <c r="K181" s="1" t="s">
        <v>127</v>
      </c>
      <c r="L181" s="1" t="s">
        <v>55</v>
      </c>
      <c r="M181" s="1"/>
      <c r="N181" s="1"/>
      <c r="O181" s="2">
        <v>46023</v>
      </c>
      <c r="P181" s="2">
        <v>46752</v>
      </c>
      <c r="Q181" s="1" t="s">
        <v>77</v>
      </c>
      <c r="R181" s="1" t="s">
        <v>56</v>
      </c>
      <c r="S181" s="1"/>
      <c r="T181" s="1"/>
      <c r="U181" s="1"/>
      <c r="V181" s="1" t="s">
        <v>39</v>
      </c>
      <c r="W181" s="1" t="s">
        <v>39</v>
      </c>
      <c r="X181" s="1" t="s">
        <v>48</v>
      </c>
      <c r="Y181">
        <v>0</v>
      </c>
      <c r="Z181" s="1"/>
      <c r="AA181" s="1"/>
      <c r="AB181" s="1"/>
      <c r="AC181" s="1"/>
    </row>
    <row r="182" spans="1:29" x14ac:dyDescent="0.3">
      <c r="A182" s="1" t="s">
        <v>714</v>
      </c>
      <c r="B182">
        <v>183</v>
      </c>
      <c r="C182" s="1" t="s">
        <v>28</v>
      </c>
      <c r="D182" s="1" t="s">
        <v>81</v>
      </c>
      <c r="E182" s="1" t="s">
        <v>30</v>
      </c>
      <c r="F182" s="1"/>
      <c r="G182" s="1"/>
      <c r="H182" s="1" t="s">
        <v>715</v>
      </c>
      <c r="I182" s="1" t="s">
        <v>716</v>
      </c>
      <c r="J182" s="1" t="s">
        <v>210</v>
      </c>
      <c r="K182" s="1" t="s">
        <v>601</v>
      </c>
      <c r="L182" s="1" t="s">
        <v>55</v>
      </c>
      <c r="M182" s="1"/>
      <c r="N182" s="1"/>
      <c r="O182" s="2">
        <v>45292</v>
      </c>
      <c r="P182" s="2">
        <v>46752</v>
      </c>
      <c r="Q182" s="1" t="s">
        <v>575</v>
      </c>
      <c r="R182" s="1" t="s">
        <v>576</v>
      </c>
      <c r="S182" s="1"/>
      <c r="T182" s="1"/>
      <c r="U182" s="1"/>
      <c r="V182" s="1" t="s">
        <v>39</v>
      </c>
      <c r="W182" s="1" t="s">
        <v>39</v>
      </c>
      <c r="X182" s="1" t="s">
        <v>48</v>
      </c>
      <c r="Y182">
        <v>0</v>
      </c>
      <c r="Z182" s="1"/>
      <c r="AA182" s="1"/>
      <c r="AB182" s="1"/>
      <c r="AC182" s="1"/>
    </row>
    <row r="183" spans="1:29" x14ac:dyDescent="0.3">
      <c r="A183" s="1" t="s">
        <v>717</v>
      </c>
      <c r="B183">
        <v>184</v>
      </c>
      <c r="C183" s="1" t="s">
        <v>28</v>
      </c>
      <c r="D183" s="1" t="s">
        <v>29</v>
      </c>
      <c r="E183" s="1" t="s">
        <v>30</v>
      </c>
      <c r="F183" s="1"/>
      <c r="G183" s="1"/>
      <c r="H183" s="1" t="s">
        <v>718</v>
      </c>
      <c r="I183" s="1" t="s">
        <v>719</v>
      </c>
      <c r="J183" s="1" t="s">
        <v>33</v>
      </c>
      <c r="K183" s="1" t="s">
        <v>142</v>
      </c>
      <c r="L183" s="1" t="s">
        <v>35</v>
      </c>
      <c r="M183" s="1"/>
      <c r="N183" s="1"/>
      <c r="O183" s="2"/>
      <c r="P183" s="2"/>
      <c r="Q183" s="1" t="s">
        <v>46</v>
      </c>
      <c r="R183" s="1" t="s">
        <v>46</v>
      </c>
      <c r="S183" s="1" t="s">
        <v>46</v>
      </c>
      <c r="T183" s="1" t="s">
        <v>46</v>
      </c>
      <c r="U183" s="1"/>
      <c r="V183" s="1" t="s">
        <v>47</v>
      </c>
      <c r="W183" s="1" t="s">
        <v>39</v>
      </c>
      <c r="X183" s="1" t="s">
        <v>48</v>
      </c>
      <c r="Y183">
        <v>0</v>
      </c>
      <c r="Z183" s="1"/>
      <c r="AA183" s="1"/>
      <c r="AB183" s="1"/>
      <c r="AC183" s="1"/>
    </row>
    <row r="184" spans="1:29" x14ac:dyDescent="0.3">
      <c r="A184" s="1" t="s">
        <v>720</v>
      </c>
      <c r="B184">
        <v>185</v>
      </c>
      <c r="C184" s="1" t="s">
        <v>721</v>
      </c>
      <c r="D184" s="1" t="s">
        <v>99</v>
      </c>
      <c r="E184" s="1" t="s">
        <v>30</v>
      </c>
      <c r="F184" s="1"/>
      <c r="G184" s="1"/>
      <c r="H184" s="1" t="s">
        <v>722</v>
      </c>
      <c r="I184" s="1"/>
      <c r="J184" s="1"/>
      <c r="K184" s="1"/>
      <c r="L184" s="1" t="s">
        <v>35</v>
      </c>
      <c r="M184" s="1"/>
      <c r="N184" s="1"/>
      <c r="O184" s="2"/>
      <c r="P184" s="2"/>
      <c r="Q184" s="1" t="s">
        <v>46</v>
      </c>
      <c r="R184" s="1" t="s">
        <v>46</v>
      </c>
      <c r="S184" s="1" t="s">
        <v>37</v>
      </c>
      <c r="T184" s="1" t="s">
        <v>46</v>
      </c>
      <c r="U184" s="1"/>
      <c r="V184" s="1" t="s">
        <v>47</v>
      </c>
      <c r="W184" s="1" t="s">
        <v>723</v>
      </c>
      <c r="X184" s="1" t="s">
        <v>40</v>
      </c>
      <c r="Y184">
        <v>3</v>
      </c>
      <c r="Z184" s="1" t="s">
        <v>724</v>
      </c>
      <c r="AA184" s="1" t="s">
        <v>725</v>
      </c>
      <c r="AB184" s="1" t="s">
        <v>726</v>
      </c>
      <c r="AC184" s="1" t="s">
        <v>727</v>
      </c>
    </row>
    <row r="185" spans="1:29" x14ac:dyDescent="0.3">
      <c r="A185" s="1" t="s">
        <v>728</v>
      </c>
      <c r="B185">
        <v>186</v>
      </c>
      <c r="C185" s="1" t="s">
        <v>721</v>
      </c>
      <c r="D185" s="1" t="s">
        <v>99</v>
      </c>
      <c r="E185" s="1" t="s">
        <v>30</v>
      </c>
      <c r="F185" s="1"/>
      <c r="G185" s="1"/>
      <c r="H185" s="1" t="s">
        <v>729</v>
      </c>
      <c r="I185" s="1"/>
      <c r="J185" s="1"/>
      <c r="K185" s="1"/>
      <c r="L185" s="1" t="s">
        <v>730</v>
      </c>
      <c r="M185" s="1"/>
      <c r="N185" s="1"/>
      <c r="O185" s="2"/>
      <c r="P185" s="2"/>
      <c r="Q185" s="1" t="s">
        <v>37</v>
      </c>
      <c r="R185" s="1" t="s">
        <v>37</v>
      </c>
      <c r="S185" s="1" t="s">
        <v>37</v>
      </c>
      <c r="T185" s="1" t="s">
        <v>731</v>
      </c>
      <c r="U185" s="1"/>
      <c r="V185" s="1" t="s">
        <v>40</v>
      </c>
      <c r="W185" s="1" t="s">
        <v>723</v>
      </c>
      <c r="X185" s="1" t="s">
        <v>40</v>
      </c>
      <c r="Y185">
        <v>4</v>
      </c>
      <c r="Z185" s="1" t="s">
        <v>732</v>
      </c>
      <c r="AA185" s="1" t="s">
        <v>733</v>
      </c>
      <c r="AB185" s="1" t="s">
        <v>726</v>
      </c>
      <c r="AC185" s="1" t="s">
        <v>727</v>
      </c>
    </row>
    <row r="186" spans="1:29" x14ac:dyDescent="0.3">
      <c r="A186" s="1" t="s">
        <v>734</v>
      </c>
      <c r="B186">
        <v>187</v>
      </c>
      <c r="C186" s="1" t="s">
        <v>721</v>
      </c>
      <c r="D186" s="1" t="s">
        <v>99</v>
      </c>
      <c r="E186" s="1" t="s">
        <v>30</v>
      </c>
      <c r="F186" s="1"/>
      <c r="G186" s="1"/>
      <c r="H186" s="1" t="s">
        <v>735</v>
      </c>
      <c r="I186" s="1"/>
      <c r="J186" s="1"/>
      <c r="K186" s="1"/>
      <c r="L186" s="1" t="s">
        <v>730</v>
      </c>
      <c r="M186" s="1"/>
      <c r="N186" s="1"/>
      <c r="O186" s="2"/>
      <c r="P186" s="2">
        <v>45838</v>
      </c>
      <c r="Q186" s="1" t="s">
        <v>37</v>
      </c>
      <c r="R186" s="1" t="s">
        <v>37</v>
      </c>
      <c r="S186" s="1" t="s">
        <v>37</v>
      </c>
      <c r="T186" s="1"/>
      <c r="U186" s="1"/>
      <c r="V186" s="1" t="s">
        <v>38</v>
      </c>
      <c r="W186" s="1" t="s">
        <v>723</v>
      </c>
      <c r="X186" s="1" t="s">
        <v>40</v>
      </c>
      <c r="Y186">
        <v>4</v>
      </c>
      <c r="Z186" s="1" t="s">
        <v>736</v>
      </c>
      <c r="AA186" s="1" t="s">
        <v>737</v>
      </c>
      <c r="AB186" s="1" t="s">
        <v>738</v>
      </c>
      <c r="AC186" s="1" t="s">
        <v>727</v>
      </c>
    </row>
    <row r="187" spans="1:29" x14ac:dyDescent="0.3">
      <c r="A187" s="1" t="s">
        <v>739</v>
      </c>
      <c r="B187">
        <v>188</v>
      </c>
      <c r="C187" s="1" t="s">
        <v>721</v>
      </c>
      <c r="D187" s="1" t="s">
        <v>99</v>
      </c>
      <c r="E187" s="1" t="s">
        <v>30</v>
      </c>
      <c r="F187" s="1"/>
      <c r="G187" s="1"/>
      <c r="H187" s="1" t="s">
        <v>740</v>
      </c>
      <c r="I187" s="1"/>
      <c r="J187" s="1"/>
      <c r="K187" s="1"/>
      <c r="L187" s="1" t="s">
        <v>61</v>
      </c>
      <c r="M187" s="1"/>
      <c r="N187" s="1"/>
      <c r="O187" s="2"/>
      <c r="P187" s="2"/>
      <c r="Q187" s="1" t="s">
        <v>46</v>
      </c>
      <c r="R187" s="1" t="s">
        <v>46</v>
      </c>
      <c r="S187" s="1" t="s">
        <v>37</v>
      </c>
      <c r="T187" s="1" t="s">
        <v>46</v>
      </c>
      <c r="U187" s="1"/>
      <c r="V187" s="1" t="s">
        <v>47</v>
      </c>
      <c r="W187" s="1" t="s">
        <v>723</v>
      </c>
      <c r="X187" s="1" t="s">
        <v>40</v>
      </c>
      <c r="Y187">
        <v>3</v>
      </c>
      <c r="Z187" s="1" t="s">
        <v>724</v>
      </c>
      <c r="AA187" s="1" t="s">
        <v>741</v>
      </c>
      <c r="AB187" s="1" t="s">
        <v>738</v>
      </c>
      <c r="AC187" s="1" t="s">
        <v>727</v>
      </c>
    </row>
    <row r="188" spans="1:29" x14ac:dyDescent="0.3">
      <c r="A188" s="1" t="s">
        <v>742</v>
      </c>
      <c r="B188">
        <v>189</v>
      </c>
      <c r="C188" s="1" t="s">
        <v>721</v>
      </c>
      <c r="D188" s="1" t="s">
        <v>99</v>
      </c>
      <c r="E188" s="1" t="s">
        <v>30</v>
      </c>
      <c r="F188" s="1"/>
      <c r="G188" s="1"/>
      <c r="H188" s="1" t="s">
        <v>743</v>
      </c>
      <c r="I188" s="1"/>
      <c r="J188" s="1"/>
      <c r="K188" s="1"/>
      <c r="L188" s="1" t="s">
        <v>61</v>
      </c>
      <c r="M188" s="1"/>
      <c r="N188" s="1"/>
      <c r="O188" s="2"/>
      <c r="P188" s="2"/>
      <c r="Q188" s="1" t="s">
        <v>37</v>
      </c>
      <c r="R188" s="1" t="s">
        <v>37</v>
      </c>
      <c r="S188" s="1" t="s">
        <v>37</v>
      </c>
      <c r="T188" s="1" t="s">
        <v>37</v>
      </c>
      <c r="U188" s="1"/>
      <c r="V188" s="1" t="s">
        <v>62</v>
      </c>
      <c r="W188" s="1" t="s">
        <v>723</v>
      </c>
      <c r="X188" s="1" t="s">
        <v>40</v>
      </c>
      <c r="Y188">
        <v>4</v>
      </c>
      <c r="Z188" s="1" t="s">
        <v>744</v>
      </c>
      <c r="AA188" s="1" t="s">
        <v>745</v>
      </c>
      <c r="AB188" s="1" t="s">
        <v>726</v>
      </c>
      <c r="AC188" s="1" t="s">
        <v>727</v>
      </c>
    </row>
    <row r="189" spans="1:29" x14ac:dyDescent="0.3">
      <c r="A189" s="1" t="s">
        <v>746</v>
      </c>
      <c r="B189">
        <v>190</v>
      </c>
      <c r="C189" s="1" t="s">
        <v>721</v>
      </c>
      <c r="D189" s="1" t="s">
        <v>99</v>
      </c>
      <c r="E189" s="1" t="s">
        <v>30</v>
      </c>
      <c r="F189" s="1"/>
      <c r="G189" s="1"/>
      <c r="H189" s="1" t="s">
        <v>747</v>
      </c>
      <c r="I189" s="1"/>
      <c r="J189" s="1"/>
      <c r="K189" s="1"/>
      <c r="L189" s="1" t="s">
        <v>730</v>
      </c>
      <c r="M189" s="1"/>
      <c r="N189" s="1"/>
      <c r="O189" s="2"/>
      <c r="P189" s="2"/>
      <c r="Q189" s="1" t="s">
        <v>37</v>
      </c>
      <c r="R189" s="1" t="s">
        <v>37</v>
      </c>
      <c r="S189" s="1" t="s">
        <v>37</v>
      </c>
      <c r="T189" s="1" t="s">
        <v>748</v>
      </c>
      <c r="U189" s="1"/>
      <c r="V189" s="1" t="s">
        <v>40</v>
      </c>
      <c r="W189" s="1" t="s">
        <v>723</v>
      </c>
      <c r="X189" s="1" t="s">
        <v>40</v>
      </c>
      <c r="Y189">
        <v>4</v>
      </c>
      <c r="Z189" s="1" t="s">
        <v>732</v>
      </c>
      <c r="AA189" s="1" t="s">
        <v>749</v>
      </c>
      <c r="AB189" s="1" t="s">
        <v>750</v>
      </c>
      <c r="AC189" s="1" t="s">
        <v>727</v>
      </c>
    </row>
    <row r="190" spans="1:29" x14ac:dyDescent="0.3">
      <c r="A190" s="1" t="s">
        <v>751</v>
      </c>
      <c r="B190">
        <v>191</v>
      </c>
      <c r="C190" s="1" t="s">
        <v>721</v>
      </c>
      <c r="D190" s="1" t="s">
        <v>99</v>
      </c>
      <c r="E190" s="1" t="s">
        <v>104</v>
      </c>
      <c r="F190" s="1"/>
      <c r="G190" s="1"/>
      <c r="H190" s="1" t="s">
        <v>752</v>
      </c>
      <c r="I190" s="1"/>
      <c r="J190" s="1"/>
      <c r="K190" s="1"/>
      <c r="L190" s="1" t="s">
        <v>55</v>
      </c>
      <c r="M190" s="1"/>
      <c r="N190" s="1"/>
      <c r="O190" s="2"/>
      <c r="P190" s="2"/>
      <c r="Q190" s="1" t="s">
        <v>77</v>
      </c>
      <c r="R190" s="1" t="s">
        <v>56</v>
      </c>
      <c r="S190" s="1" t="s">
        <v>37</v>
      </c>
      <c r="T190" s="1" t="s">
        <v>753</v>
      </c>
      <c r="U190" s="1"/>
      <c r="V190" s="1" t="s">
        <v>38</v>
      </c>
      <c r="W190" s="1" t="s">
        <v>723</v>
      </c>
      <c r="X190" s="1" t="s">
        <v>40</v>
      </c>
      <c r="Y190">
        <v>4</v>
      </c>
      <c r="Z190" s="1" t="s">
        <v>736</v>
      </c>
      <c r="AA190" s="1" t="s">
        <v>754</v>
      </c>
      <c r="AB190" s="1" t="s">
        <v>755</v>
      </c>
      <c r="AC190" s="1" t="s">
        <v>727</v>
      </c>
    </row>
    <row r="191" spans="1:29" x14ac:dyDescent="0.3">
      <c r="A191" s="1" t="s">
        <v>756</v>
      </c>
      <c r="B191">
        <v>192</v>
      </c>
      <c r="C191" s="1" t="s">
        <v>721</v>
      </c>
      <c r="D191" s="1" t="s">
        <v>99</v>
      </c>
      <c r="E191" s="1" t="s">
        <v>30</v>
      </c>
      <c r="F191" s="1"/>
      <c r="G191" s="1"/>
      <c r="H191" s="1" t="s">
        <v>757</v>
      </c>
      <c r="I191" s="1"/>
      <c r="J191" s="1"/>
      <c r="K191" s="1"/>
      <c r="L191" s="1" t="s">
        <v>55</v>
      </c>
      <c r="M191" s="1"/>
      <c r="N191" s="1"/>
      <c r="O191" s="2"/>
      <c r="P191" s="2"/>
      <c r="Q191" s="1" t="s">
        <v>758</v>
      </c>
      <c r="R191" s="1" t="s">
        <v>310</v>
      </c>
      <c r="S191" s="1" t="s">
        <v>37</v>
      </c>
      <c r="T191" s="1" t="s">
        <v>753</v>
      </c>
      <c r="U191" s="1"/>
      <c r="V191" s="1" t="s">
        <v>38</v>
      </c>
      <c r="W191" s="1" t="s">
        <v>723</v>
      </c>
      <c r="X191" s="1" t="s">
        <v>40</v>
      </c>
      <c r="Y191">
        <v>4</v>
      </c>
      <c r="Z191" s="1" t="s">
        <v>736</v>
      </c>
      <c r="AA191" s="1" t="s">
        <v>757</v>
      </c>
      <c r="AB191" s="1" t="s">
        <v>759</v>
      </c>
      <c r="AC191" s="1" t="s">
        <v>727</v>
      </c>
    </row>
    <row r="192" spans="1:29" x14ac:dyDescent="0.3">
      <c r="A192" s="1" t="s">
        <v>760</v>
      </c>
      <c r="B192">
        <v>193</v>
      </c>
      <c r="C192" s="1" t="s">
        <v>721</v>
      </c>
      <c r="D192" s="1" t="s">
        <v>99</v>
      </c>
      <c r="E192" s="1" t="s">
        <v>30</v>
      </c>
      <c r="F192" s="1"/>
      <c r="G192" s="1"/>
      <c r="H192" s="1" t="s">
        <v>761</v>
      </c>
      <c r="I192" s="1"/>
      <c r="J192" s="1"/>
      <c r="K192" s="1"/>
      <c r="L192" s="1" t="s">
        <v>61</v>
      </c>
      <c r="M192" s="1"/>
      <c r="N192" s="1"/>
      <c r="O192" s="2"/>
      <c r="P192" s="2"/>
      <c r="Q192" s="1" t="s">
        <v>46</v>
      </c>
      <c r="R192" s="1" t="s">
        <v>37</v>
      </c>
      <c r="S192" s="1" t="s">
        <v>37</v>
      </c>
      <c r="T192" s="1" t="s">
        <v>762</v>
      </c>
      <c r="U192" s="1"/>
      <c r="V192" s="1" t="s">
        <v>47</v>
      </c>
      <c r="W192" s="1" t="s">
        <v>723</v>
      </c>
      <c r="X192" s="1" t="s">
        <v>40</v>
      </c>
      <c r="Y192">
        <v>3</v>
      </c>
      <c r="Z192" s="1" t="s">
        <v>724</v>
      </c>
      <c r="AA192" s="1" t="s">
        <v>761</v>
      </c>
      <c r="AB192" s="1" t="s">
        <v>37</v>
      </c>
      <c r="AC192" s="1" t="s">
        <v>727</v>
      </c>
    </row>
    <row r="193" spans="1:29" x14ac:dyDescent="0.3">
      <c r="A193" s="1" t="s">
        <v>763</v>
      </c>
      <c r="B193">
        <v>194</v>
      </c>
      <c r="C193" s="1" t="s">
        <v>721</v>
      </c>
      <c r="D193" s="1" t="s">
        <v>99</v>
      </c>
      <c r="E193" s="1" t="s">
        <v>30</v>
      </c>
      <c r="F193" s="1"/>
      <c r="G193" s="1"/>
      <c r="H193" s="1" t="s">
        <v>764</v>
      </c>
      <c r="I193" s="1"/>
      <c r="J193" s="1"/>
      <c r="K193" s="1"/>
      <c r="L193" s="1" t="s">
        <v>61</v>
      </c>
      <c r="M193" s="1"/>
      <c r="N193" s="1"/>
      <c r="O193" s="2"/>
      <c r="P193" s="2"/>
      <c r="Q193" s="1" t="s">
        <v>37</v>
      </c>
      <c r="R193" s="1" t="s">
        <v>37</v>
      </c>
      <c r="S193" s="1" t="s">
        <v>37</v>
      </c>
      <c r="T193" s="1" t="s">
        <v>765</v>
      </c>
      <c r="U193" s="1"/>
      <c r="V193" s="1" t="s">
        <v>40</v>
      </c>
      <c r="W193" s="1" t="s">
        <v>723</v>
      </c>
      <c r="X193" s="1" t="s">
        <v>40</v>
      </c>
      <c r="Y193">
        <v>4</v>
      </c>
      <c r="Z193" s="1" t="s">
        <v>732</v>
      </c>
      <c r="AA193" s="1" t="s">
        <v>764</v>
      </c>
      <c r="AB193" s="1" t="s">
        <v>37</v>
      </c>
      <c r="AC193" s="1" t="s">
        <v>727</v>
      </c>
    </row>
    <row r="194" spans="1:29" x14ac:dyDescent="0.3">
      <c r="A194" s="1" t="s">
        <v>766</v>
      </c>
      <c r="B194">
        <v>195</v>
      </c>
      <c r="C194" s="1" t="s">
        <v>721</v>
      </c>
      <c r="D194" s="1" t="s">
        <v>99</v>
      </c>
      <c r="E194" s="1" t="s">
        <v>30</v>
      </c>
      <c r="F194" s="1"/>
      <c r="G194" s="1"/>
      <c r="H194" s="1" t="s">
        <v>767</v>
      </c>
      <c r="I194" s="1"/>
      <c r="J194" s="1"/>
      <c r="K194" s="1"/>
      <c r="L194" s="1" t="s">
        <v>61</v>
      </c>
      <c r="M194" s="1"/>
      <c r="N194" s="1"/>
      <c r="O194" s="2"/>
      <c r="P194" s="2">
        <v>46476</v>
      </c>
      <c r="Q194" s="1" t="s">
        <v>77</v>
      </c>
      <c r="R194" s="1" t="s">
        <v>101</v>
      </c>
      <c r="S194" s="1" t="s">
        <v>37</v>
      </c>
      <c r="T194" s="1"/>
      <c r="U194" s="1"/>
      <c r="V194" s="1" t="s">
        <v>38</v>
      </c>
      <c r="W194" s="1" t="s">
        <v>723</v>
      </c>
      <c r="X194" s="1" t="s">
        <v>40</v>
      </c>
      <c r="Y194">
        <v>4</v>
      </c>
      <c r="Z194" s="1" t="s">
        <v>768</v>
      </c>
      <c r="AA194" s="1" t="s">
        <v>769</v>
      </c>
      <c r="AB194" s="1" t="s">
        <v>37</v>
      </c>
      <c r="AC194" s="1" t="s">
        <v>727</v>
      </c>
    </row>
    <row r="195" spans="1:29" x14ac:dyDescent="0.3">
      <c r="A195" s="1" t="s">
        <v>770</v>
      </c>
      <c r="B195">
        <v>196</v>
      </c>
      <c r="C195" s="1" t="s">
        <v>721</v>
      </c>
      <c r="D195" s="1" t="s">
        <v>99</v>
      </c>
      <c r="E195" s="1" t="s">
        <v>30</v>
      </c>
      <c r="F195" s="1"/>
      <c r="G195" s="1"/>
      <c r="H195" s="1" t="s">
        <v>771</v>
      </c>
      <c r="I195" s="1"/>
      <c r="J195" s="1"/>
      <c r="K195" s="1"/>
      <c r="L195" s="1" t="s">
        <v>35</v>
      </c>
      <c r="M195" s="1"/>
      <c r="N195" s="1"/>
      <c r="O195" s="2"/>
      <c r="P195" s="2">
        <v>46387</v>
      </c>
      <c r="Q195" s="1" t="s">
        <v>100</v>
      </c>
      <c r="R195" s="1" t="s">
        <v>37</v>
      </c>
      <c r="S195" s="1" t="s">
        <v>37</v>
      </c>
      <c r="T195" s="1"/>
      <c r="U195" s="1"/>
      <c r="V195" s="1" t="s">
        <v>38</v>
      </c>
      <c r="W195" s="1" t="s">
        <v>723</v>
      </c>
      <c r="X195" s="1" t="s">
        <v>40</v>
      </c>
      <c r="Y195">
        <v>4</v>
      </c>
      <c r="Z195" s="1" t="s">
        <v>736</v>
      </c>
      <c r="AA195" s="1" t="s">
        <v>772</v>
      </c>
      <c r="AB195" s="1" t="s">
        <v>37</v>
      </c>
      <c r="AC195" s="1" t="s">
        <v>727</v>
      </c>
    </row>
    <row r="196" spans="1:29" x14ac:dyDescent="0.3">
      <c r="A196" s="1" t="s">
        <v>773</v>
      </c>
      <c r="B196">
        <v>197</v>
      </c>
      <c r="C196" s="1" t="s">
        <v>721</v>
      </c>
      <c r="D196" s="1" t="s">
        <v>99</v>
      </c>
      <c r="E196" s="1" t="s">
        <v>104</v>
      </c>
      <c r="F196" s="1"/>
      <c r="G196" s="1"/>
      <c r="H196" s="1" t="s">
        <v>774</v>
      </c>
      <c r="I196" s="1"/>
      <c r="J196" s="1"/>
      <c r="K196" s="1"/>
      <c r="L196" s="1" t="s">
        <v>775</v>
      </c>
      <c r="M196" s="1"/>
      <c r="N196" s="1"/>
      <c r="O196" s="2"/>
      <c r="P196" s="2">
        <v>46202</v>
      </c>
      <c r="Q196" s="1" t="s">
        <v>37</v>
      </c>
      <c r="R196" s="1" t="s">
        <v>37</v>
      </c>
      <c r="S196" s="1" t="s">
        <v>37</v>
      </c>
      <c r="T196" s="1"/>
      <c r="U196" s="1"/>
      <c r="V196" s="1" t="s">
        <v>38</v>
      </c>
      <c r="W196" s="1" t="s">
        <v>723</v>
      </c>
      <c r="X196" s="1" t="s">
        <v>40</v>
      </c>
      <c r="Y196">
        <v>4</v>
      </c>
      <c r="Z196" s="1" t="s">
        <v>736</v>
      </c>
      <c r="AA196" s="1" t="s">
        <v>776</v>
      </c>
      <c r="AB196" s="1" t="s">
        <v>777</v>
      </c>
      <c r="AC196" s="1" t="s">
        <v>727</v>
      </c>
    </row>
    <row r="197" spans="1:29" x14ac:dyDescent="0.3">
      <c r="A197" s="1" t="s">
        <v>778</v>
      </c>
      <c r="B197">
        <v>198</v>
      </c>
      <c r="C197" s="1" t="s">
        <v>721</v>
      </c>
      <c r="D197" s="1" t="s">
        <v>99</v>
      </c>
      <c r="E197" s="1" t="s">
        <v>30</v>
      </c>
      <c r="F197" s="1"/>
      <c r="G197" s="1"/>
      <c r="H197" s="1" t="s">
        <v>779</v>
      </c>
      <c r="I197" s="1"/>
      <c r="J197" s="1"/>
      <c r="K197" s="1"/>
      <c r="L197" s="1" t="s">
        <v>35</v>
      </c>
      <c r="M197" s="1"/>
      <c r="N197" s="1"/>
      <c r="O197" s="2"/>
      <c r="P197" s="2"/>
      <c r="Q197" s="1" t="s">
        <v>77</v>
      </c>
      <c r="R197" s="1" t="s">
        <v>310</v>
      </c>
      <c r="S197" s="1" t="s">
        <v>37</v>
      </c>
      <c r="T197" s="1" t="s">
        <v>753</v>
      </c>
      <c r="U197" s="1"/>
      <c r="V197" s="1" t="s">
        <v>38</v>
      </c>
      <c r="W197" s="1" t="s">
        <v>723</v>
      </c>
      <c r="X197" s="1" t="s">
        <v>40</v>
      </c>
      <c r="Y197">
        <v>4</v>
      </c>
      <c r="Z197" s="1" t="s">
        <v>736</v>
      </c>
      <c r="AA197" s="1" t="s">
        <v>780</v>
      </c>
      <c r="AB197" s="1" t="s">
        <v>37</v>
      </c>
      <c r="AC197" s="1" t="s">
        <v>727</v>
      </c>
    </row>
    <row r="198" spans="1:29" x14ac:dyDescent="0.3">
      <c r="A198" s="1" t="s">
        <v>781</v>
      </c>
      <c r="B198">
        <v>199</v>
      </c>
      <c r="C198" s="1" t="s">
        <v>721</v>
      </c>
      <c r="D198" s="1" t="s">
        <v>99</v>
      </c>
      <c r="E198" s="1" t="s">
        <v>30</v>
      </c>
      <c r="F198" s="1"/>
      <c r="G198" s="1"/>
      <c r="H198" s="1" t="s">
        <v>782</v>
      </c>
      <c r="I198" s="1"/>
      <c r="J198" s="1"/>
      <c r="K198" s="1"/>
      <c r="L198" s="1" t="s">
        <v>35</v>
      </c>
      <c r="M198" s="1"/>
      <c r="N198" s="1"/>
      <c r="O198" s="2"/>
      <c r="P198" s="2">
        <v>46295</v>
      </c>
      <c r="Q198" s="1" t="s">
        <v>193</v>
      </c>
      <c r="R198" s="1" t="s">
        <v>56</v>
      </c>
      <c r="S198" s="1" t="s">
        <v>37</v>
      </c>
      <c r="T198" s="1"/>
      <c r="U198" s="1"/>
      <c r="V198" s="1" t="s">
        <v>38</v>
      </c>
      <c r="W198" s="1" t="s">
        <v>723</v>
      </c>
      <c r="X198" s="1" t="s">
        <v>40</v>
      </c>
      <c r="Y198">
        <v>4</v>
      </c>
      <c r="Z198" s="1" t="s">
        <v>736</v>
      </c>
      <c r="AA198" s="1" t="s">
        <v>782</v>
      </c>
      <c r="AB198" s="1" t="s">
        <v>37</v>
      </c>
      <c r="AC198" s="1" t="s">
        <v>727</v>
      </c>
    </row>
    <row r="199" spans="1:29" x14ac:dyDescent="0.3">
      <c r="A199" s="1" t="s">
        <v>783</v>
      </c>
      <c r="B199">
        <v>200</v>
      </c>
      <c r="C199" s="1" t="s">
        <v>721</v>
      </c>
      <c r="D199" s="1" t="s">
        <v>99</v>
      </c>
      <c r="E199" s="1" t="s">
        <v>30</v>
      </c>
      <c r="F199" s="1"/>
      <c r="G199" s="1"/>
      <c r="H199" s="1" t="s">
        <v>784</v>
      </c>
      <c r="I199" s="1"/>
      <c r="J199" s="1"/>
      <c r="K199" s="1"/>
      <c r="L199" s="1" t="s">
        <v>35</v>
      </c>
      <c r="M199" s="1"/>
      <c r="N199" s="1"/>
      <c r="O199" s="2"/>
      <c r="P199" s="2">
        <v>45747</v>
      </c>
      <c r="Q199" s="1" t="s">
        <v>193</v>
      </c>
      <c r="R199" s="1" t="s">
        <v>310</v>
      </c>
      <c r="S199" s="1" t="s">
        <v>37</v>
      </c>
      <c r="T199" s="1"/>
      <c r="U199" s="1"/>
      <c r="V199" s="1" t="s">
        <v>38</v>
      </c>
      <c r="W199" s="1" t="s">
        <v>723</v>
      </c>
      <c r="X199" s="1" t="s">
        <v>40</v>
      </c>
      <c r="Y199">
        <v>4</v>
      </c>
      <c r="Z199" s="1" t="s">
        <v>736</v>
      </c>
      <c r="AA199" s="1" t="s">
        <v>785</v>
      </c>
      <c r="AB199" s="1" t="s">
        <v>37</v>
      </c>
      <c r="AC199" s="1" t="s">
        <v>727</v>
      </c>
    </row>
    <row r="200" spans="1:29" x14ac:dyDescent="0.3">
      <c r="A200" s="1" t="s">
        <v>786</v>
      </c>
      <c r="B200">
        <v>201</v>
      </c>
      <c r="C200" s="1" t="s">
        <v>721</v>
      </c>
      <c r="D200" s="1" t="s">
        <v>99</v>
      </c>
      <c r="E200" s="1" t="s">
        <v>30</v>
      </c>
      <c r="F200" s="1"/>
      <c r="G200" s="1"/>
      <c r="H200" s="1" t="s">
        <v>787</v>
      </c>
      <c r="I200" s="1"/>
      <c r="J200" s="1"/>
      <c r="K200" s="1"/>
      <c r="L200" s="1" t="s">
        <v>35</v>
      </c>
      <c r="M200" s="1"/>
      <c r="N200" s="1"/>
      <c r="O200" s="2"/>
      <c r="P200" s="2">
        <v>46067</v>
      </c>
      <c r="Q200" s="1" t="s">
        <v>36</v>
      </c>
      <c r="R200" s="1" t="s">
        <v>56</v>
      </c>
      <c r="S200" s="1" t="s">
        <v>37</v>
      </c>
      <c r="T200" s="1"/>
      <c r="U200" s="1"/>
      <c r="V200" s="1" t="s">
        <v>38</v>
      </c>
      <c r="W200" s="1" t="s">
        <v>723</v>
      </c>
      <c r="X200" s="1" t="s">
        <v>40</v>
      </c>
      <c r="Y200">
        <v>4</v>
      </c>
      <c r="Z200" s="1" t="s">
        <v>736</v>
      </c>
      <c r="AA200" s="1" t="s">
        <v>788</v>
      </c>
      <c r="AB200" s="1" t="s">
        <v>37</v>
      </c>
      <c r="AC200" s="1" t="s">
        <v>727</v>
      </c>
    </row>
    <row r="201" spans="1:29" x14ac:dyDescent="0.3">
      <c r="A201" s="1" t="s">
        <v>789</v>
      </c>
      <c r="B201">
        <v>202</v>
      </c>
      <c r="C201" s="1" t="s">
        <v>721</v>
      </c>
      <c r="D201" s="1" t="s">
        <v>99</v>
      </c>
      <c r="E201" s="1" t="s">
        <v>30</v>
      </c>
      <c r="F201" s="1"/>
      <c r="G201" s="1"/>
      <c r="H201" s="1" t="s">
        <v>790</v>
      </c>
      <c r="I201" s="1"/>
      <c r="J201" s="1"/>
      <c r="K201" s="1"/>
      <c r="L201" s="1" t="s">
        <v>775</v>
      </c>
      <c r="M201" s="1"/>
      <c r="N201" s="1"/>
      <c r="O201" s="2"/>
      <c r="P201" s="2"/>
      <c r="Q201" s="1" t="s">
        <v>46</v>
      </c>
      <c r="R201" s="1" t="s">
        <v>46</v>
      </c>
      <c r="S201" s="1" t="s">
        <v>37</v>
      </c>
      <c r="T201" s="1" t="s">
        <v>46</v>
      </c>
      <c r="U201" s="1"/>
      <c r="V201" s="1" t="s">
        <v>47</v>
      </c>
      <c r="W201" s="1" t="s">
        <v>723</v>
      </c>
      <c r="X201" s="1" t="s">
        <v>40</v>
      </c>
      <c r="Y201">
        <v>3</v>
      </c>
      <c r="Z201" s="1" t="s">
        <v>724</v>
      </c>
      <c r="AA201" s="1" t="s">
        <v>791</v>
      </c>
      <c r="AB201" s="1" t="s">
        <v>37</v>
      </c>
      <c r="AC201" s="1" t="s">
        <v>727</v>
      </c>
    </row>
    <row r="202" spans="1:29" x14ac:dyDescent="0.3">
      <c r="A202" s="1" t="s">
        <v>792</v>
      </c>
      <c r="B202">
        <v>203</v>
      </c>
      <c r="C202" s="1" t="s">
        <v>721</v>
      </c>
      <c r="D202" s="1" t="s">
        <v>99</v>
      </c>
      <c r="E202" s="1" t="s">
        <v>30</v>
      </c>
      <c r="F202" s="1"/>
      <c r="G202" s="1"/>
      <c r="H202" s="1" t="s">
        <v>793</v>
      </c>
      <c r="I202" s="1"/>
      <c r="J202" s="1"/>
      <c r="K202" s="1"/>
      <c r="L202" s="1" t="s">
        <v>775</v>
      </c>
      <c r="M202" s="1"/>
      <c r="N202" s="1"/>
      <c r="O202" s="2"/>
      <c r="P202" s="2"/>
      <c r="Q202" s="1" t="s">
        <v>46</v>
      </c>
      <c r="R202" s="1" t="s">
        <v>46</v>
      </c>
      <c r="S202" s="1" t="s">
        <v>37</v>
      </c>
      <c r="T202" s="1" t="s">
        <v>46</v>
      </c>
      <c r="U202" s="1"/>
      <c r="V202" s="1" t="s">
        <v>47</v>
      </c>
      <c r="W202" s="1" t="s">
        <v>723</v>
      </c>
      <c r="X202" s="1" t="s">
        <v>40</v>
      </c>
      <c r="Y202">
        <v>3</v>
      </c>
      <c r="Z202" s="1" t="s">
        <v>724</v>
      </c>
      <c r="AA202" s="1" t="s">
        <v>794</v>
      </c>
      <c r="AB202" s="1" t="s">
        <v>37</v>
      </c>
      <c r="AC202" s="1" t="s">
        <v>727</v>
      </c>
    </row>
    <row r="203" spans="1:29" x14ac:dyDescent="0.3">
      <c r="A203" s="1" t="s">
        <v>795</v>
      </c>
      <c r="B203">
        <v>204</v>
      </c>
      <c r="C203" s="1" t="s">
        <v>721</v>
      </c>
      <c r="D203" s="1" t="s">
        <v>99</v>
      </c>
      <c r="E203" s="1" t="s">
        <v>30</v>
      </c>
      <c r="F203" s="1"/>
      <c r="G203" s="1"/>
      <c r="H203" s="1" t="s">
        <v>796</v>
      </c>
      <c r="I203" s="1"/>
      <c r="J203" s="1"/>
      <c r="K203" s="1"/>
      <c r="L203" s="1" t="s">
        <v>35</v>
      </c>
      <c r="M203" s="1"/>
      <c r="N203" s="1"/>
      <c r="O203" s="2"/>
      <c r="P203" s="2"/>
      <c r="Q203" s="1" t="s">
        <v>46</v>
      </c>
      <c r="R203" s="1" t="s">
        <v>46</v>
      </c>
      <c r="S203" s="1" t="s">
        <v>37</v>
      </c>
      <c r="T203" s="1" t="s">
        <v>46</v>
      </c>
      <c r="U203" s="1"/>
      <c r="V203" s="1" t="s">
        <v>47</v>
      </c>
      <c r="W203" s="1" t="s">
        <v>723</v>
      </c>
      <c r="X203" s="1" t="s">
        <v>40</v>
      </c>
      <c r="Y203">
        <v>3</v>
      </c>
      <c r="Z203" s="1" t="s">
        <v>724</v>
      </c>
      <c r="AA203" s="1" t="s">
        <v>797</v>
      </c>
      <c r="AB203" s="1" t="s">
        <v>37</v>
      </c>
      <c r="AC203" s="1" t="s">
        <v>727</v>
      </c>
    </row>
    <row r="204" spans="1:29" x14ac:dyDescent="0.3">
      <c r="A204" s="1" t="s">
        <v>798</v>
      </c>
      <c r="B204">
        <v>205</v>
      </c>
      <c r="C204" s="1" t="s">
        <v>721</v>
      </c>
      <c r="D204" s="1" t="s">
        <v>99</v>
      </c>
      <c r="E204" s="1" t="s">
        <v>30</v>
      </c>
      <c r="F204" s="1"/>
      <c r="G204" s="1"/>
      <c r="H204" s="1" t="s">
        <v>799</v>
      </c>
      <c r="I204" s="1"/>
      <c r="J204" s="1"/>
      <c r="K204" s="1"/>
      <c r="L204" s="1" t="s">
        <v>55</v>
      </c>
      <c r="M204" s="1"/>
      <c r="N204" s="1"/>
      <c r="O204" s="2"/>
      <c r="P204" s="2"/>
      <c r="Q204" s="1" t="s">
        <v>46</v>
      </c>
      <c r="R204" s="1" t="s">
        <v>46</v>
      </c>
      <c r="S204" s="1" t="s">
        <v>37</v>
      </c>
      <c r="T204" s="1" t="s">
        <v>46</v>
      </c>
      <c r="U204" s="1"/>
      <c r="V204" s="1" t="s">
        <v>47</v>
      </c>
      <c r="W204" s="1" t="s">
        <v>723</v>
      </c>
      <c r="X204" s="1" t="s">
        <v>40</v>
      </c>
      <c r="Y204">
        <v>3</v>
      </c>
      <c r="Z204" s="1" t="s">
        <v>724</v>
      </c>
      <c r="AA204" s="1" t="s">
        <v>800</v>
      </c>
      <c r="AB204" s="1" t="s">
        <v>37</v>
      </c>
      <c r="AC204" s="1" t="s">
        <v>727</v>
      </c>
    </row>
    <row r="205" spans="1:29" x14ac:dyDescent="0.3">
      <c r="A205" s="1" t="s">
        <v>801</v>
      </c>
      <c r="B205">
        <v>206</v>
      </c>
      <c r="C205" s="1" t="s">
        <v>721</v>
      </c>
      <c r="D205" s="1" t="s">
        <v>99</v>
      </c>
      <c r="E205" s="1" t="s">
        <v>30</v>
      </c>
      <c r="F205" s="1"/>
      <c r="G205" s="1"/>
      <c r="H205" s="1" t="s">
        <v>802</v>
      </c>
      <c r="I205" s="1"/>
      <c r="J205" s="1"/>
      <c r="K205" s="1"/>
      <c r="L205" s="1" t="s">
        <v>61</v>
      </c>
      <c r="M205" s="1"/>
      <c r="N205" s="1"/>
      <c r="O205" s="2"/>
      <c r="P205" s="2"/>
      <c r="Q205" s="1" t="s">
        <v>46</v>
      </c>
      <c r="R205" s="1" t="s">
        <v>46</v>
      </c>
      <c r="S205" s="1" t="s">
        <v>37</v>
      </c>
      <c r="T205" s="1" t="s">
        <v>46</v>
      </c>
      <c r="U205" s="1"/>
      <c r="V205" s="1" t="s">
        <v>47</v>
      </c>
      <c r="W205" s="1" t="s">
        <v>723</v>
      </c>
      <c r="X205" s="1" t="s">
        <v>40</v>
      </c>
      <c r="Y205">
        <v>3</v>
      </c>
      <c r="Z205" s="1" t="s">
        <v>724</v>
      </c>
      <c r="AA205" s="1" t="s">
        <v>803</v>
      </c>
      <c r="AB205" s="1" t="s">
        <v>37</v>
      </c>
      <c r="AC205" s="1" t="s">
        <v>727</v>
      </c>
    </row>
    <row r="206" spans="1:29" x14ac:dyDescent="0.3">
      <c r="A206" s="1" t="s">
        <v>804</v>
      </c>
      <c r="B206">
        <v>207</v>
      </c>
      <c r="C206" s="1" t="s">
        <v>721</v>
      </c>
      <c r="D206" s="1" t="s">
        <v>99</v>
      </c>
      <c r="E206" s="1" t="s">
        <v>30</v>
      </c>
      <c r="F206" s="1"/>
      <c r="G206" s="1"/>
      <c r="H206" s="1" t="s">
        <v>805</v>
      </c>
      <c r="I206" s="1"/>
      <c r="J206" s="1"/>
      <c r="K206" s="1"/>
      <c r="L206" s="1" t="s">
        <v>55</v>
      </c>
      <c r="M206" s="1"/>
      <c r="N206" s="1"/>
      <c r="O206" s="2"/>
      <c r="P206" s="2"/>
      <c r="Q206" s="1" t="s">
        <v>37</v>
      </c>
      <c r="R206" s="1" t="s">
        <v>37</v>
      </c>
      <c r="S206" s="1" t="s">
        <v>37</v>
      </c>
      <c r="T206" s="1" t="s">
        <v>46</v>
      </c>
      <c r="U206" s="1"/>
      <c r="V206" s="1" t="s">
        <v>47</v>
      </c>
      <c r="W206" s="1" t="s">
        <v>723</v>
      </c>
      <c r="X206" s="1" t="s">
        <v>40</v>
      </c>
      <c r="Y206">
        <v>3</v>
      </c>
      <c r="Z206" s="1" t="s">
        <v>724</v>
      </c>
      <c r="AA206" s="1" t="s">
        <v>806</v>
      </c>
      <c r="AB206" s="1" t="s">
        <v>37</v>
      </c>
      <c r="AC206" s="1" t="s">
        <v>727</v>
      </c>
    </row>
    <row r="207" spans="1:29" x14ac:dyDescent="0.3">
      <c r="A207" s="1" t="s">
        <v>807</v>
      </c>
      <c r="B207">
        <v>208</v>
      </c>
      <c r="C207" s="1" t="s">
        <v>721</v>
      </c>
      <c r="D207" s="1" t="s">
        <v>99</v>
      </c>
      <c r="E207" s="1" t="s">
        <v>30</v>
      </c>
      <c r="F207" s="1"/>
      <c r="G207" s="1"/>
      <c r="H207" s="1" t="s">
        <v>808</v>
      </c>
      <c r="I207" s="1"/>
      <c r="J207" s="1"/>
      <c r="K207" s="1"/>
      <c r="L207" s="1" t="s">
        <v>55</v>
      </c>
      <c r="M207" s="1"/>
      <c r="N207" s="1"/>
      <c r="O207" s="2"/>
      <c r="P207" s="2"/>
      <c r="Q207" s="1" t="s">
        <v>46</v>
      </c>
      <c r="R207" s="1" t="s">
        <v>46</v>
      </c>
      <c r="S207" s="1" t="s">
        <v>37</v>
      </c>
      <c r="T207" s="1" t="s">
        <v>46</v>
      </c>
      <c r="U207" s="1"/>
      <c r="V207" s="1" t="s">
        <v>47</v>
      </c>
      <c r="W207" s="1" t="s">
        <v>723</v>
      </c>
      <c r="X207" s="1" t="s">
        <v>40</v>
      </c>
      <c r="Y207">
        <v>3</v>
      </c>
      <c r="Z207" s="1" t="s">
        <v>724</v>
      </c>
      <c r="AA207" s="1" t="s">
        <v>809</v>
      </c>
      <c r="AB207" s="1" t="s">
        <v>37</v>
      </c>
      <c r="AC207" s="1" t="s">
        <v>727</v>
      </c>
    </row>
    <row r="208" spans="1:29" x14ac:dyDescent="0.3">
      <c r="A208" s="1" t="s">
        <v>810</v>
      </c>
      <c r="B208">
        <v>209</v>
      </c>
      <c r="C208" s="1" t="s">
        <v>721</v>
      </c>
      <c r="D208" s="1" t="s">
        <v>99</v>
      </c>
      <c r="E208" s="1" t="s">
        <v>30</v>
      </c>
      <c r="F208" s="1"/>
      <c r="G208" s="1"/>
      <c r="H208" s="1" t="s">
        <v>811</v>
      </c>
      <c r="I208" s="1"/>
      <c r="J208" s="1"/>
      <c r="K208" s="1"/>
      <c r="L208" s="1" t="s">
        <v>35</v>
      </c>
      <c r="M208" s="1"/>
      <c r="N208" s="1"/>
      <c r="O208" s="2"/>
      <c r="P208" s="2"/>
      <c r="Q208" s="1" t="s">
        <v>46</v>
      </c>
      <c r="R208" s="1" t="s">
        <v>46</v>
      </c>
      <c r="S208" s="1" t="s">
        <v>37</v>
      </c>
      <c r="T208" s="1" t="s">
        <v>46</v>
      </c>
      <c r="U208" s="1"/>
      <c r="V208" s="1" t="s">
        <v>47</v>
      </c>
      <c r="W208" s="1" t="s">
        <v>723</v>
      </c>
      <c r="X208" s="1" t="s">
        <v>40</v>
      </c>
      <c r="Y208">
        <v>3</v>
      </c>
      <c r="Z208" s="1" t="s">
        <v>724</v>
      </c>
      <c r="AA208" s="1" t="s">
        <v>811</v>
      </c>
      <c r="AB208" s="1" t="s">
        <v>37</v>
      </c>
      <c r="AC208" s="1" t="s">
        <v>727</v>
      </c>
    </row>
    <row r="209" spans="1:29" x14ac:dyDescent="0.3">
      <c r="A209" s="1" t="s">
        <v>812</v>
      </c>
      <c r="B209">
        <v>210</v>
      </c>
      <c r="C209" s="1" t="s">
        <v>721</v>
      </c>
      <c r="D209" s="1" t="s">
        <v>99</v>
      </c>
      <c r="E209" s="1" t="s">
        <v>30</v>
      </c>
      <c r="F209" s="1"/>
      <c r="G209" s="1"/>
      <c r="H209" s="1" t="s">
        <v>813</v>
      </c>
      <c r="I209" s="1"/>
      <c r="J209" s="1"/>
      <c r="K209" s="1"/>
      <c r="L209" s="1" t="s">
        <v>55</v>
      </c>
      <c r="M209" s="1"/>
      <c r="N209" s="1"/>
      <c r="O209" s="2"/>
      <c r="P209" s="2"/>
      <c r="Q209" s="1" t="s">
        <v>46</v>
      </c>
      <c r="R209" s="1" t="s">
        <v>46</v>
      </c>
      <c r="S209" s="1" t="s">
        <v>37</v>
      </c>
      <c r="T209" s="1" t="s">
        <v>46</v>
      </c>
      <c r="U209" s="1"/>
      <c r="V209" s="1" t="s">
        <v>47</v>
      </c>
      <c r="W209" s="1" t="s">
        <v>723</v>
      </c>
      <c r="X209" s="1" t="s">
        <v>40</v>
      </c>
      <c r="Y209">
        <v>3</v>
      </c>
      <c r="Z209" s="1" t="s">
        <v>724</v>
      </c>
      <c r="AA209" s="1" t="s">
        <v>813</v>
      </c>
      <c r="AB209" s="1" t="s">
        <v>726</v>
      </c>
      <c r="AC209" s="1" t="s">
        <v>727</v>
      </c>
    </row>
    <row r="210" spans="1:29" x14ac:dyDescent="0.3">
      <c r="A210" s="1" t="s">
        <v>814</v>
      </c>
      <c r="B210">
        <v>211</v>
      </c>
      <c r="C210" s="1" t="s">
        <v>721</v>
      </c>
      <c r="D210" s="1" t="s">
        <v>99</v>
      </c>
      <c r="E210" s="1" t="s">
        <v>30</v>
      </c>
      <c r="F210" s="1"/>
      <c r="G210" s="1"/>
      <c r="H210" s="1" t="s">
        <v>815</v>
      </c>
      <c r="I210" s="1"/>
      <c r="J210" s="1"/>
      <c r="K210" s="1"/>
      <c r="L210" s="1" t="s">
        <v>775</v>
      </c>
      <c r="M210" s="1"/>
      <c r="N210" s="1"/>
      <c r="O210" s="2"/>
      <c r="P210" s="2"/>
      <c r="Q210" s="1" t="s">
        <v>46</v>
      </c>
      <c r="R210" s="1" t="s">
        <v>46</v>
      </c>
      <c r="S210" s="1" t="s">
        <v>37</v>
      </c>
      <c r="T210" s="1" t="s">
        <v>46</v>
      </c>
      <c r="U210" s="1"/>
      <c r="V210" s="1" t="s">
        <v>47</v>
      </c>
      <c r="W210" s="1" t="s">
        <v>723</v>
      </c>
      <c r="X210" s="1" t="s">
        <v>40</v>
      </c>
      <c r="Y210">
        <v>3</v>
      </c>
      <c r="Z210" s="1" t="s">
        <v>724</v>
      </c>
      <c r="AA210" s="1" t="s">
        <v>816</v>
      </c>
      <c r="AB210" s="1" t="s">
        <v>37</v>
      </c>
      <c r="AC210" s="1" t="s">
        <v>727</v>
      </c>
    </row>
    <row r="211" spans="1:29" x14ac:dyDescent="0.3">
      <c r="A211" s="1" t="s">
        <v>817</v>
      </c>
      <c r="B211">
        <v>212</v>
      </c>
      <c r="C211" s="1" t="s">
        <v>721</v>
      </c>
      <c r="D211" s="1" t="s">
        <v>99</v>
      </c>
      <c r="E211" s="1" t="s">
        <v>104</v>
      </c>
      <c r="F211" s="1"/>
      <c r="G211" s="1"/>
      <c r="H211" s="1" t="s">
        <v>818</v>
      </c>
      <c r="I211" s="1"/>
      <c r="J211" s="1"/>
      <c r="K211" s="1"/>
      <c r="L211" s="1" t="s">
        <v>775</v>
      </c>
      <c r="M211" s="1"/>
      <c r="N211" s="1"/>
      <c r="O211" s="2"/>
      <c r="P211" s="2"/>
      <c r="Q211" s="1" t="s">
        <v>37</v>
      </c>
      <c r="R211" s="1" t="s">
        <v>37</v>
      </c>
      <c r="S211" s="1" t="s">
        <v>37</v>
      </c>
      <c r="T211" s="1" t="s">
        <v>762</v>
      </c>
      <c r="U211" s="1"/>
      <c r="V211" s="1" t="s">
        <v>62</v>
      </c>
      <c r="W211" s="1" t="s">
        <v>723</v>
      </c>
      <c r="X211" s="1" t="s">
        <v>40</v>
      </c>
      <c r="Y211">
        <v>4</v>
      </c>
      <c r="Z211" s="1" t="s">
        <v>744</v>
      </c>
      <c r="AA211" s="1" t="s">
        <v>818</v>
      </c>
      <c r="AB211" s="1" t="s">
        <v>755</v>
      </c>
      <c r="AC211" s="1" t="s">
        <v>727</v>
      </c>
    </row>
    <row r="212" spans="1:29" x14ac:dyDescent="0.3">
      <c r="A212" s="1" t="s">
        <v>819</v>
      </c>
      <c r="B212">
        <v>213</v>
      </c>
      <c r="C212" s="1" t="s">
        <v>721</v>
      </c>
      <c r="D212" s="1" t="s">
        <v>99</v>
      </c>
      <c r="E212" s="1" t="s">
        <v>104</v>
      </c>
      <c r="F212" s="1"/>
      <c r="G212" s="1"/>
      <c r="H212" s="1" t="s">
        <v>820</v>
      </c>
      <c r="I212" s="1"/>
      <c r="J212" s="1"/>
      <c r="K212" s="1"/>
      <c r="L212" s="1" t="s">
        <v>55</v>
      </c>
      <c r="M212" s="1"/>
      <c r="N212" s="1"/>
      <c r="O212" s="2"/>
      <c r="P212" s="2">
        <v>46844</v>
      </c>
      <c r="Q212" s="1" t="s">
        <v>36</v>
      </c>
      <c r="R212" s="1" t="s">
        <v>37</v>
      </c>
      <c r="S212" s="1" t="s">
        <v>37</v>
      </c>
      <c r="T212" s="1"/>
      <c r="U212" s="1"/>
      <c r="V212" s="1" t="s">
        <v>38</v>
      </c>
      <c r="W212" s="1" t="s">
        <v>723</v>
      </c>
      <c r="X212" s="1" t="s">
        <v>40</v>
      </c>
      <c r="Y212">
        <v>4</v>
      </c>
      <c r="Z212" s="1" t="s">
        <v>736</v>
      </c>
      <c r="AA212" s="1" t="s">
        <v>820</v>
      </c>
      <c r="AB212" s="1" t="s">
        <v>777</v>
      </c>
      <c r="AC212" s="1" t="s">
        <v>727</v>
      </c>
    </row>
    <row r="213" spans="1:29" x14ac:dyDescent="0.3">
      <c r="A213" s="1" t="s">
        <v>821</v>
      </c>
      <c r="B213">
        <v>214</v>
      </c>
      <c r="C213" s="1" t="s">
        <v>721</v>
      </c>
      <c r="D213" s="1" t="s">
        <v>99</v>
      </c>
      <c r="E213" s="1" t="s">
        <v>30</v>
      </c>
      <c r="F213" s="1"/>
      <c r="G213" s="1"/>
      <c r="H213" s="1" t="s">
        <v>822</v>
      </c>
      <c r="I213" s="1"/>
      <c r="J213" s="1"/>
      <c r="K213" s="1"/>
      <c r="L213" s="1" t="s">
        <v>55</v>
      </c>
      <c r="M213" s="1"/>
      <c r="N213" s="1"/>
      <c r="O213" s="2"/>
      <c r="P213" s="2"/>
      <c r="Q213" s="1" t="s">
        <v>46</v>
      </c>
      <c r="R213" s="1" t="s">
        <v>46</v>
      </c>
      <c r="S213" s="1" t="s">
        <v>37</v>
      </c>
      <c r="T213" s="1" t="s">
        <v>46</v>
      </c>
      <c r="U213" s="1"/>
      <c r="V213" s="1" t="s">
        <v>47</v>
      </c>
      <c r="W213" s="1" t="s">
        <v>723</v>
      </c>
      <c r="X213" s="1" t="s">
        <v>40</v>
      </c>
      <c r="Y213">
        <v>3</v>
      </c>
      <c r="Z213" s="1" t="s">
        <v>724</v>
      </c>
      <c r="AA213" s="1" t="s">
        <v>822</v>
      </c>
      <c r="AB213" s="1" t="s">
        <v>37</v>
      </c>
      <c r="AC213" s="1" t="s">
        <v>727</v>
      </c>
    </row>
    <row r="214" spans="1:29" x14ac:dyDescent="0.3">
      <c r="A214" s="1" t="s">
        <v>823</v>
      </c>
      <c r="B214">
        <v>215</v>
      </c>
      <c r="C214" s="1" t="s">
        <v>721</v>
      </c>
      <c r="D214" s="1" t="s">
        <v>99</v>
      </c>
      <c r="E214" s="1" t="s">
        <v>30</v>
      </c>
      <c r="F214" s="1"/>
      <c r="G214" s="1"/>
      <c r="H214" s="1" t="s">
        <v>824</v>
      </c>
      <c r="I214" s="1"/>
      <c r="J214" s="1"/>
      <c r="K214" s="1"/>
      <c r="L214" s="1" t="s">
        <v>35</v>
      </c>
      <c r="M214" s="1"/>
      <c r="N214" s="1"/>
      <c r="O214" s="2"/>
      <c r="P214" s="2"/>
      <c r="Q214" s="1" t="s">
        <v>46</v>
      </c>
      <c r="R214" s="1" t="s">
        <v>46</v>
      </c>
      <c r="S214" s="1" t="s">
        <v>37</v>
      </c>
      <c r="T214" s="1" t="s">
        <v>46</v>
      </c>
      <c r="U214" s="1"/>
      <c r="V214" s="1" t="s">
        <v>47</v>
      </c>
      <c r="W214" s="1" t="s">
        <v>723</v>
      </c>
      <c r="X214" s="1" t="s">
        <v>40</v>
      </c>
      <c r="Y214">
        <v>3</v>
      </c>
      <c r="Z214" s="1" t="s">
        <v>724</v>
      </c>
      <c r="AA214" s="1" t="s">
        <v>825</v>
      </c>
      <c r="AB214" s="1" t="s">
        <v>37</v>
      </c>
      <c r="AC214" s="1" t="s">
        <v>727</v>
      </c>
    </row>
    <row r="215" spans="1:29" x14ac:dyDescent="0.3">
      <c r="A215" s="1" t="s">
        <v>826</v>
      </c>
      <c r="B215">
        <v>216</v>
      </c>
      <c r="C215" s="1" t="s">
        <v>721</v>
      </c>
      <c r="D215" s="1" t="s">
        <v>99</v>
      </c>
      <c r="E215" s="1" t="s">
        <v>30</v>
      </c>
      <c r="F215" s="1"/>
      <c r="G215" s="1"/>
      <c r="H215" s="1" t="s">
        <v>827</v>
      </c>
      <c r="I215" s="1"/>
      <c r="J215" s="1"/>
      <c r="K215" s="1"/>
      <c r="L215" s="1" t="s">
        <v>55</v>
      </c>
      <c r="M215" s="1"/>
      <c r="N215" s="1"/>
      <c r="O215" s="2"/>
      <c r="P215" s="2">
        <v>46444</v>
      </c>
      <c r="Q215" s="1" t="s">
        <v>77</v>
      </c>
      <c r="R215" s="1" t="s">
        <v>56</v>
      </c>
      <c r="S215" s="1" t="s">
        <v>37</v>
      </c>
      <c r="T215" s="1"/>
      <c r="U215" s="1"/>
      <c r="V215" s="1" t="s">
        <v>38</v>
      </c>
      <c r="W215" s="1" t="s">
        <v>723</v>
      </c>
      <c r="X215" s="1" t="s">
        <v>40</v>
      </c>
      <c r="Y215">
        <v>4</v>
      </c>
      <c r="Z215" s="1" t="s">
        <v>736</v>
      </c>
      <c r="AA215" s="1" t="s">
        <v>828</v>
      </c>
      <c r="AB215" s="1" t="s">
        <v>37</v>
      </c>
      <c r="AC215" s="1" t="s">
        <v>727</v>
      </c>
    </row>
    <row r="216" spans="1:29" x14ac:dyDescent="0.3">
      <c r="A216" s="1" t="s">
        <v>829</v>
      </c>
      <c r="B216">
        <v>217</v>
      </c>
      <c r="C216" s="1" t="s">
        <v>721</v>
      </c>
      <c r="D216" s="1" t="s">
        <v>99</v>
      </c>
      <c r="E216" s="1" t="s">
        <v>30</v>
      </c>
      <c r="F216" s="1"/>
      <c r="G216" s="1"/>
      <c r="H216" s="1" t="s">
        <v>830</v>
      </c>
      <c r="I216" s="1"/>
      <c r="J216" s="1"/>
      <c r="K216" s="1"/>
      <c r="L216" s="1" t="s">
        <v>775</v>
      </c>
      <c r="M216" s="1"/>
      <c r="N216" s="1"/>
      <c r="O216" s="2"/>
      <c r="P216" s="2"/>
      <c r="Q216" s="1" t="s">
        <v>37</v>
      </c>
      <c r="R216" s="1" t="s">
        <v>37</v>
      </c>
      <c r="S216" s="1" t="s">
        <v>37</v>
      </c>
      <c r="T216" s="1" t="s">
        <v>831</v>
      </c>
      <c r="U216" s="1"/>
      <c r="V216" s="1" t="s">
        <v>38</v>
      </c>
      <c r="W216" s="1" t="s">
        <v>723</v>
      </c>
      <c r="X216" s="1" t="s">
        <v>40</v>
      </c>
      <c r="Y216">
        <v>4</v>
      </c>
      <c r="Z216" s="1" t="s">
        <v>736</v>
      </c>
      <c r="AA216" s="1" t="s">
        <v>832</v>
      </c>
      <c r="AB216" s="1" t="s">
        <v>37</v>
      </c>
      <c r="AC216" s="1" t="s">
        <v>727</v>
      </c>
    </row>
    <row r="217" spans="1:29" x14ac:dyDescent="0.3">
      <c r="A217" s="1" t="s">
        <v>833</v>
      </c>
      <c r="B217">
        <v>218</v>
      </c>
      <c r="C217" s="1" t="s">
        <v>721</v>
      </c>
      <c r="D217" s="1" t="s">
        <v>99</v>
      </c>
      <c r="E217" s="1" t="s">
        <v>30</v>
      </c>
      <c r="F217" s="1"/>
      <c r="G217" s="1"/>
      <c r="H217" s="1" t="s">
        <v>834</v>
      </c>
      <c r="I217" s="1"/>
      <c r="J217" s="1"/>
      <c r="K217" s="1"/>
      <c r="L217" s="1" t="s">
        <v>775</v>
      </c>
      <c r="M217" s="1"/>
      <c r="N217" s="1"/>
      <c r="O217" s="2"/>
      <c r="P217" s="2">
        <v>46752</v>
      </c>
      <c r="Q217" s="1" t="s">
        <v>37</v>
      </c>
      <c r="R217" s="1" t="s">
        <v>835</v>
      </c>
      <c r="S217" s="1" t="s">
        <v>37</v>
      </c>
      <c r="T217" s="1"/>
      <c r="U217" s="1"/>
      <c r="V217" s="1" t="s">
        <v>38</v>
      </c>
      <c r="W217" s="1" t="s">
        <v>723</v>
      </c>
      <c r="X217" s="1" t="s">
        <v>40</v>
      </c>
      <c r="Y217">
        <v>4</v>
      </c>
      <c r="Z217" s="1" t="s">
        <v>736</v>
      </c>
      <c r="AA217" s="1" t="s">
        <v>834</v>
      </c>
      <c r="AB217" s="1" t="s">
        <v>37</v>
      </c>
      <c r="AC217" s="1" t="s">
        <v>727</v>
      </c>
    </row>
    <row r="218" spans="1:29" x14ac:dyDescent="0.3">
      <c r="A218" s="1" t="s">
        <v>836</v>
      </c>
      <c r="B218">
        <v>219</v>
      </c>
      <c r="C218" s="1" t="s">
        <v>721</v>
      </c>
      <c r="D218" s="1" t="s">
        <v>99</v>
      </c>
      <c r="E218" s="1" t="s">
        <v>30</v>
      </c>
      <c r="F218" s="1"/>
      <c r="G218" s="1"/>
      <c r="H218" s="1" t="s">
        <v>837</v>
      </c>
      <c r="I218" s="1"/>
      <c r="J218" s="1"/>
      <c r="K218" s="1"/>
      <c r="L218" s="1" t="s">
        <v>55</v>
      </c>
      <c r="M218" s="1"/>
      <c r="N218" s="1"/>
      <c r="O218" s="2"/>
      <c r="P218" s="2"/>
      <c r="Q218" s="1" t="s">
        <v>37</v>
      </c>
      <c r="R218" s="1" t="s">
        <v>37</v>
      </c>
      <c r="S218" s="1" t="s">
        <v>37</v>
      </c>
      <c r="T218" s="1" t="s">
        <v>46</v>
      </c>
      <c r="U218" s="1"/>
      <c r="V218" s="1" t="s">
        <v>47</v>
      </c>
      <c r="W218" s="1" t="s">
        <v>723</v>
      </c>
      <c r="X218" s="1" t="s">
        <v>40</v>
      </c>
      <c r="Y218">
        <v>3</v>
      </c>
      <c r="Z218" s="1" t="s">
        <v>724</v>
      </c>
      <c r="AA218" s="1" t="s">
        <v>838</v>
      </c>
      <c r="AB218" s="1" t="s">
        <v>37</v>
      </c>
      <c r="AC218" s="1" t="s">
        <v>727</v>
      </c>
    </row>
    <row r="219" spans="1:29" x14ac:dyDescent="0.3">
      <c r="A219" s="1" t="s">
        <v>839</v>
      </c>
      <c r="B219">
        <v>220</v>
      </c>
      <c r="C219" s="1" t="s">
        <v>721</v>
      </c>
      <c r="D219" s="1" t="s">
        <v>99</v>
      </c>
      <c r="E219" s="1" t="s">
        <v>30</v>
      </c>
      <c r="F219" s="1"/>
      <c r="G219" s="1"/>
      <c r="H219" s="1" t="s">
        <v>840</v>
      </c>
      <c r="I219" s="1"/>
      <c r="J219" s="1"/>
      <c r="K219" s="1"/>
      <c r="L219" s="1" t="s">
        <v>775</v>
      </c>
      <c r="M219" s="1"/>
      <c r="N219" s="1"/>
      <c r="O219" s="2"/>
      <c r="P219" s="2"/>
      <c r="Q219" s="1" t="s">
        <v>46</v>
      </c>
      <c r="R219" s="1" t="s">
        <v>46</v>
      </c>
      <c r="S219" s="1" t="s">
        <v>37</v>
      </c>
      <c r="T219" s="1" t="s">
        <v>46</v>
      </c>
      <c r="U219" s="1"/>
      <c r="V219" s="1" t="s">
        <v>47</v>
      </c>
      <c r="W219" s="1" t="s">
        <v>723</v>
      </c>
      <c r="X219" s="1" t="s">
        <v>40</v>
      </c>
      <c r="Y219">
        <v>3</v>
      </c>
      <c r="Z219" s="1" t="s">
        <v>724</v>
      </c>
      <c r="AA219" s="1" t="s">
        <v>841</v>
      </c>
      <c r="AB219" s="1" t="s">
        <v>37</v>
      </c>
      <c r="AC219" s="1" t="s">
        <v>727</v>
      </c>
    </row>
    <row r="220" spans="1:29" x14ac:dyDescent="0.3">
      <c r="A220" s="1" t="s">
        <v>842</v>
      </c>
      <c r="B220">
        <v>221</v>
      </c>
      <c r="C220" s="1" t="s">
        <v>721</v>
      </c>
      <c r="D220" s="1" t="s">
        <v>99</v>
      </c>
      <c r="E220" s="1" t="s">
        <v>30</v>
      </c>
      <c r="F220" s="1"/>
      <c r="G220" s="1"/>
      <c r="H220" s="1" t="s">
        <v>843</v>
      </c>
      <c r="I220" s="1"/>
      <c r="J220" s="1"/>
      <c r="K220" s="1"/>
      <c r="L220" s="1" t="s">
        <v>775</v>
      </c>
      <c r="M220" s="1"/>
      <c r="N220" s="1"/>
      <c r="O220" s="2"/>
      <c r="P220" s="2"/>
      <c r="Q220" s="1" t="s">
        <v>37</v>
      </c>
      <c r="R220" s="1" t="s">
        <v>37</v>
      </c>
      <c r="S220" s="1" t="s">
        <v>37</v>
      </c>
      <c r="T220" s="1" t="s">
        <v>37</v>
      </c>
      <c r="U220" s="1"/>
      <c r="V220" s="1" t="s">
        <v>62</v>
      </c>
      <c r="W220" s="1" t="s">
        <v>723</v>
      </c>
      <c r="X220" s="1" t="s">
        <v>40</v>
      </c>
      <c r="Y220">
        <v>4</v>
      </c>
      <c r="Z220" s="1" t="s">
        <v>744</v>
      </c>
      <c r="AA220" s="1" t="s">
        <v>844</v>
      </c>
      <c r="AB220" s="1" t="s">
        <v>37</v>
      </c>
      <c r="AC220" s="1" t="s">
        <v>727</v>
      </c>
    </row>
    <row r="221" spans="1:29" x14ac:dyDescent="0.3">
      <c r="A221" s="1" t="s">
        <v>845</v>
      </c>
      <c r="B221">
        <v>222</v>
      </c>
      <c r="C221" s="1" t="s">
        <v>721</v>
      </c>
      <c r="D221" s="1" t="s">
        <v>99</v>
      </c>
      <c r="E221" s="1" t="s">
        <v>30</v>
      </c>
      <c r="F221" s="1"/>
      <c r="G221" s="1"/>
      <c r="H221" s="1" t="s">
        <v>846</v>
      </c>
      <c r="I221" s="1"/>
      <c r="J221" s="1"/>
      <c r="K221" s="1"/>
      <c r="L221" s="1" t="s">
        <v>775</v>
      </c>
      <c r="M221" s="1"/>
      <c r="N221" s="1"/>
      <c r="O221" s="2"/>
      <c r="P221" s="2"/>
      <c r="Q221" s="1" t="s">
        <v>37</v>
      </c>
      <c r="R221" s="1" t="s">
        <v>37</v>
      </c>
      <c r="S221" s="1" t="s">
        <v>37</v>
      </c>
      <c r="T221" s="1" t="s">
        <v>46</v>
      </c>
      <c r="U221" s="1"/>
      <c r="V221" s="1" t="s">
        <v>47</v>
      </c>
      <c r="W221" s="1" t="s">
        <v>723</v>
      </c>
      <c r="X221" s="1" t="s">
        <v>40</v>
      </c>
      <c r="Y221">
        <v>3</v>
      </c>
      <c r="Z221" s="1" t="s">
        <v>724</v>
      </c>
      <c r="AA221" s="1" t="s">
        <v>847</v>
      </c>
      <c r="AB221" s="1" t="s">
        <v>37</v>
      </c>
      <c r="AC221" s="1" t="s">
        <v>727</v>
      </c>
    </row>
    <row r="222" spans="1:29" x14ac:dyDescent="0.3">
      <c r="A222" s="1" t="s">
        <v>848</v>
      </c>
      <c r="B222">
        <v>223</v>
      </c>
      <c r="C222" s="1" t="s">
        <v>721</v>
      </c>
      <c r="D222" s="1" t="s">
        <v>99</v>
      </c>
      <c r="E222" s="1" t="s">
        <v>30</v>
      </c>
      <c r="F222" s="1"/>
      <c r="G222" s="1"/>
      <c r="H222" s="1" t="s">
        <v>849</v>
      </c>
      <c r="I222" s="1"/>
      <c r="J222" s="1"/>
      <c r="K222" s="1"/>
      <c r="L222" s="1" t="s">
        <v>775</v>
      </c>
      <c r="M222" s="1"/>
      <c r="N222" s="1"/>
      <c r="O222" s="2"/>
      <c r="P222" s="2"/>
      <c r="Q222" s="1" t="s">
        <v>37</v>
      </c>
      <c r="R222" s="1" t="s">
        <v>37</v>
      </c>
      <c r="S222" s="1" t="s">
        <v>37</v>
      </c>
      <c r="T222" s="1" t="s">
        <v>46</v>
      </c>
      <c r="U222" s="1"/>
      <c r="V222" s="1" t="s">
        <v>47</v>
      </c>
      <c r="W222" s="1" t="s">
        <v>723</v>
      </c>
      <c r="X222" s="1" t="s">
        <v>40</v>
      </c>
      <c r="Y222">
        <v>3</v>
      </c>
      <c r="Z222" s="1" t="s">
        <v>724</v>
      </c>
      <c r="AA222" s="1" t="s">
        <v>850</v>
      </c>
      <c r="AB222" s="1" t="s">
        <v>37</v>
      </c>
      <c r="AC222" s="1" t="s">
        <v>727</v>
      </c>
    </row>
    <row r="223" spans="1:29" x14ac:dyDescent="0.3">
      <c r="A223" s="1" t="s">
        <v>851</v>
      </c>
      <c r="B223">
        <v>224</v>
      </c>
      <c r="C223" s="1" t="s">
        <v>721</v>
      </c>
      <c r="D223" s="1" t="s">
        <v>99</v>
      </c>
      <c r="E223" s="1" t="s">
        <v>30</v>
      </c>
      <c r="F223" s="1"/>
      <c r="G223" s="1"/>
      <c r="H223" s="1" t="s">
        <v>852</v>
      </c>
      <c r="I223" s="1"/>
      <c r="J223" s="1"/>
      <c r="K223" s="1"/>
      <c r="L223" s="1" t="s">
        <v>775</v>
      </c>
      <c r="M223" s="1"/>
      <c r="N223" s="1"/>
      <c r="O223" s="2"/>
      <c r="P223" s="2"/>
      <c r="Q223" s="1" t="s">
        <v>46</v>
      </c>
      <c r="R223" s="1" t="s">
        <v>46</v>
      </c>
      <c r="S223" s="1" t="s">
        <v>37</v>
      </c>
      <c r="T223" s="1" t="s">
        <v>46</v>
      </c>
      <c r="U223" s="1"/>
      <c r="V223" s="1" t="s">
        <v>47</v>
      </c>
      <c r="W223" s="1" t="s">
        <v>723</v>
      </c>
      <c r="X223" s="1" t="s">
        <v>40</v>
      </c>
      <c r="Y223">
        <v>3</v>
      </c>
      <c r="Z223" s="1" t="s">
        <v>724</v>
      </c>
      <c r="AA223" s="1" t="s">
        <v>853</v>
      </c>
      <c r="AB223" s="1" t="s">
        <v>37</v>
      </c>
      <c r="AC223" s="1" t="s">
        <v>727</v>
      </c>
    </row>
    <row r="224" spans="1:29" x14ac:dyDescent="0.3">
      <c r="A224" s="1" t="s">
        <v>854</v>
      </c>
      <c r="B224">
        <v>225</v>
      </c>
      <c r="C224" s="1" t="s">
        <v>721</v>
      </c>
      <c r="D224" s="1" t="s">
        <v>99</v>
      </c>
      <c r="E224" s="1" t="s">
        <v>30</v>
      </c>
      <c r="F224" s="1"/>
      <c r="G224" s="1"/>
      <c r="H224" s="1" t="s">
        <v>855</v>
      </c>
      <c r="I224" s="1"/>
      <c r="J224" s="1"/>
      <c r="K224" s="1"/>
      <c r="L224" s="1" t="s">
        <v>775</v>
      </c>
      <c r="M224" s="1"/>
      <c r="N224" s="1"/>
      <c r="O224" s="2"/>
      <c r="P224" s="2"/>
      <c r="Q224" s="1" t="s">
        <v>37</v>
      </c>
      <c r="R224" s="1" t="s">
        <v>37</v>
      </c>
      <c r="S224" s="1" t="s">
        <v>37</v>
      </c>
      <c r="T224" s="1" t="s">
        <v>37</v>
      </c>
      <c r="U224" s="1"/>
      <c r="V224" s="1" t="s">
        <v>62</v>
      </c>
      <c r="W224" s="1" t="s">
        <v>723</v>
      </c>
      <c r="X224" s="1" t="s">
        <v>40</v>
      </c>
      <c r="Y224">
        <v>4</v>
      </c>
      <c r="Z224" s="1" t="s">
        <v>744</v>
      </c>
      <c r="AA224" s="1" t="s">
        <v>855</v>
      </c>
      <c r="AB224" s="1" t="s">
        <v>37</v>
      </c>
      <c r="AC224" s="1" t="s">
        <v>727</v>
      </c>
    </row>
    <row r="225" spans="1:29" x14ac:dyDescent="0.3">
      <c r="A225" s="1" t="s">
        <v>856</v>
      </c>
      <c r="B225">
        <v>226</v>
      </c>
      <c r="C225" s="1" t="s">
        <v>721</v>
      </c>
      <c r="D225" s="1" t="s">
        <v>99</v>
      </c>
      <c r="E225" s="1" t="s">
        <v>30</v>
      </c>
      <c r="F225" s="1"/>
      <c r="G225" s="1"/>
      <c r="H225" s="1" t="s">
        <v>857</v>
      </c>
      <c r="I225" s="1"/>
      <c r="J225" s="1"/>
      <c r="K225" s="1"/>
      <c r="L225" s="1" t="s">
        <v>775</v>
      </c>
      <c r="M225" s="1"/>
      <c r="N225" s="1"/>
      <c r="O225" s="2"/>
      <c r="P225" s="2"/>
      <c r="Q225" s="1" t="s">
        <v>46</v>
      </c>
      <c r="R225" s="1" t="s">
        <v>46</v>
      </c>
      <c r="S225" s="1" t="s">
        <v>37</v>
      </c>
      <c r="T225" s="1" t="s">
        <v>46</v>
      </c>
      <c r="U225" s="1"/>
      <c r="V225" s="1" t="s">
        <v>47</v>
      </c>
      <c r="W225" s="1" t="s">
        <v>723</v>
      </c>
      <c r="X225" s="1" t="s">
        <v>40</v>
      </c>
      <c r="Y225">
        <v>3</v>
      </c>
      <c r="Z225" s="1" t="s">
        <v>724</v>
      </c>
      <c r="AA225" s="1" t="s">
        <v>858</v>
      </c>
      <c r="AB225" s="1" t="s">
        <v>37</v>
      </c>
      <c r="AC225" s="1" t="s">
        <v>727</v>
      </c>
    </row>
    <row r="226" spans="1:29" x14ac:dyDescent="0.3">
      <c r="A226" s="1" t="s">
        <v>859</v>
      </c>
      <c r="B226">
        <v>227</v>
      </c>
      <c r="C226" s="1" t="s">
        <v>721</v>
      </c>
      <c r="D226" s="1" t="s">
        <v>99</v>
      </c>
      <c r="E226" s="1" t="s">
        <v>30</v>
      </c>
      <c r="F226" s="1"/>
      <c r="G226" s="1"/>
      <c r="H226" s="1" t="s">
        <v>860</v>
      </c>
      <c r="I226" s="1"/>
      <c r="J226" s="1"/>
      <c r="K226" s="1"/>
      <c r="L226" s="1" t="s">
        <v>775</v>
      </c>
      <c r="M226" s="1"/>
      <c r="N226" s="1"/>
      <c r="O226" s="2"/>
      <c r="P226" s="2"/>
      <c r="Q226" s="1" t="s">
        <v>37</v>
      </c>
      <c r="R226" s="1" t="s">
        <v>37</v>
      </c>
      <c r="S226" s="1" t="s">
        <v>37</v>
      </c>
      <c r="T226" s="1" t="s">
        <v>46</v>
      </c>
      <c r="U226" s="1"/>
      <c r="V226" s="1" t="s">
        <v>47</v>
      </c>
      <c r="W226" s="1" t="s">
        <v>723</v>
      </c>
      <c r="X226" s="1" t="s">
        <v>40</v>
      </c>
      <c r="Y226">
        <v>3</v>
      </c>
      <c r="Z226" s="1" t="s">
        <v>724</v>
      </c>
      <c r="AA226" s="1" t="s">
        <v>860</v>
      </c>
      <c r="AB226" s="1" t="s">
        <v>37</v>
      </c>
      <c r="AC226" s="1" t="s">
        <v>727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BB624-628E-4F87-B3C2-315A274AB9B4}">
  <dimension ref="A1:R226"/>
  <sheetViews>
    <sheetView workbookViewId="0">
      <pane ySplit="1" topLeftCell="A2" activePane="bottomLeft" state="frozenSplit"/>
      <selection pane="bottomLeft"/>
    </sheetView>
  </sheetViews>
  <sheetFormatPr defaultRowHeight="14.4" x14ac:dyDescent="0.3"/>
  <cols>
    <col min="1" max="1" width="14.6640625" bestFit="1" customWidth="1"/>
    <col min="2" max="2" width="12.44140625" bestFit="1" customWidth="1"/>
    <col min="3" max="3" width="9.6640625" bestFit="1" customWidth="1"/>
    <col min="4" max="4" width="9.88671875" bestFit="1" customWidth="1"/>
    <col min="5" max="5" width="34.6640625" bestFit="1" customWidth="1"/>
    <col min="6" max="6" width="45.77734375" customWidth="1"/>
    <col min="7" max="7" width="25.44140625" bestFit="1" customWidth="1"/>
    <col min="8" max="8" width="22.5546875" bestFit="1" customWidth="1"/>
    <col min="9" max="9" width="10.33203125" bestFit="1" customWidth="1"/>
    <col min="10" max="10" width="9.77734375" bestFit="1" customWidth="1"/>
    <col min="11" max="11" width="45.77734375" customWidth="1"/>
    <col min="12" max="12" width="36.33203125" bestFit="1" customWidth="1"/>
    <col min="13" max="13" width="34.44140625" bestFit="1" customWidth="1"/>
    <col min="14" max="15" width="25" bestFit="1" customWidth="1"/>
    <col min="16" max="17" width="19.109375" bestFit="1" customWidth="1"/>
    <col min="18" max="18" width="22.5546875" bestFit="1" customWidth="1"/>
  </cols>
  <sheetData>
    <row r="1" spans="1:18" x14ac:dyDescent="0.3">
      <c r="A1" s="1" t="s">
        <v>0</v>
      </c>
      <c r="B1" t="s">
        <v>1</v>
      </c>
      <c r="C1" s="1" t="s">
        <v>3</v>
      </c>
      <c r="D1" s="1" t="s">
        <v>861</v>
      </c>
      <c r="E1" s="1" t="s">
        <v>862</v>
      </c>
      <c r="F1" s="1" t="s">
        <v>6</v>
      </c>
      <c r="G1" s="1" t="s">
        <v>863</v>
      </c>
      <c r="H1" s="1" t="s">
        <v>864</v>
      </c>
      <c r="I1" s="1" t="s">
        <v>865</v>
      </c>
      <c r="J1" s="1" t="s">
        <v>866</v>
      </c>
      <c r="K1" s="1" t="s">
        <v>867</v>
      </c>
      <c r="L1" s="1" t="s">
        <v>868</v>
      </c>
      <c r="M1" s="1" t="s">
        <v>869</v>
      </c>
      <c r="N1" s="1" t="s">
        <v>870</v>
      </c>
      <c r="O1" s="1" t="s">
        <v>871</v>
      </c>
      <c r="P1" s="1" t="s">
        <v>872</v>
      </c>
      <c r="Q1" s="1" t="s">
        <v>873</v>
      </c>
      <c r="R1" s="1" t="s">
        <v>874</v>
      </c>
    </row>
    <row r="2" spans="1:18" x14ac:dyDescent="0.3">
      <c r="A2" s="1" t="s">
        <v>27</v>
      </c>
      <c r="B2">
        <v>3</v>
      </c>
      <c r="C2" s="1" t="s">
        <v>29</v>
      </c>
      <c r="D2" s="1" t="s">
        <v>875</v>
      </c>
      <c r="E2" s="1" t="s">
        <v>31</v>
      </c>
      <c r="F2" s="1" t="s">
        <v>32</v>
      </c>
      <c r="G2" s="1" t="s">
        <v>876</v>
      </c>
      <c r="H2" s="1" t="s">
        <v>877</v>
      </c>
      <c r="I2" s="1" t="s">
        <v>35</v>
      </c>
      <c r="J2" s="1"/>
      <c r="K2" s="1"/>
      <c r="L2" s="2">
        <v>47087</v>
      </c>
      <c r="M2" s="1" t="s">
        <v>36</v>
      </c>
      <c r="N2" s="1" t="s">
        <v>37</v>
      </c>
      <c r="O2" s="2">
        <v>46569</v>
      </c>
      <c r="P2" s="1"/>
      <c r="Q2" s="1"/>
      <c r="R2" s="1"/>
    </row>
    <row r="3" spans="1:18" x14ac:dyDescent="0.3">
      <c r="A3" s="1" t="s">
        <v>42</v>
      </c>
      <c r="B3">
        <v>4</v>
      </c>
      <c r="C3" s="1" t="s">
        <v>29</v>
      </c>
      <c r="D3" s="1" t="s">
        <v>875</v>
      </c>
      <c r="E3" s="1" t="s">
        <v>43</v>
      </c>
      <c r="F3" s="1" t="s">
        <v>44</v>
      </c>
      <c r="G3" s="1" t="s">
        <v>876</v>
      </c>
      <c r="H3" s="1" t="s">
        <v>878</v>
      </c>
      <c r="I3" s="1" t="s">
        <v>35</v>
      </c>
      <c r="J3" s="1"/>
      <c r="K3" s="1"/>
      <c r="L3" s="1" t="s">
        <v>46</v>
      </c>
      <c r="M3" s="1" t="s">
        <v>46</v>
      </c>
      <c r="N3" s="1" t="s">
        <v>46</v>
      </c>
      <c r="O3" s="1" t="s">
        <v>46</v>
      </c>
      <c r="P3" s="1"/>
      <c r="Q3" s="1"/>
      <c r="R3" s="1"/>
    </row>
    <row r="4" spans="1:18" x14ac:dyDescent="0.3">
      <c r="A4" s="1" t="s">
        <v>49</v>
      </c>
      <c r="B4">
        <v>5</v>
      </c>
      <c r="C4" s="1" t="s">
        <v>50</v>
      </c>
      <c r="D4" s="1" t="s">
        <v>875</v>
      </c>
      <c r="E4" s="1" t="s">
        <v>51</v>
      </c>
      <c r="F4" s="1" t="s">
        <v>52</v>
      </c>
      <c r="G4" s="1" t="s">
        <v>879</v>
      </c>
      <c r="H4" s="1" t="s">
        <v>880</v>
      </c>
      <c r="I4" s="1" t="s">
        <v>55</v>
      </c>
      <c r="J4" s="1"/>
      <c r="K4" s="1"/>
      <c r="L4" s="2">
        <v>46783</v>
      </c>
      <c r="M4" s="1" t="s">
        <v>36</v>
      </c>
      <c r="N4" s="1" t="s">
        <v>56</v>
      </c>
      <c r="O4" s="2">
        <v>45689</v>
      </c>
      <c r="P4" s="1"/>
      <c r="Q4" s="1"/>
      <c r="R4" s="1"/>
    </row>
    <row r="5" spans="1:18" x14ac:dyDescent="0.3">
      <c r="A5" s="1" t="s">
        <v>57</v>
      </c>
      <c r="B5">
        <v>6</v>
      </c>
      <c r="C5" s="1" t="s">
        <v>29</v>
      </c>
      <c r="D5" s="1" t="s">
        <v>875</v>
      </c>
      <c r="E5" s="1" t="s">
        <v>58</v>
      </c>
      <c r="F5" s="1" t="s">
        <v>59</v>
      </c>
      <c r="G5" s="1" t="s">
        <v>881</v>
      </c>
      <c r="H5" s="1"/>
      <c r="I5" s="1" t="s">
        <v>61</v>
      </c>
      <c r="J5" s="1"/>
      <c r="K5" s="1"/>
      <c r="L5" s="1"/>
      <c r="M5" s="1"/>
      <c r="N5" s="1"/>
      <c r="O5" s="1"/>
      <c r="P5" s="1"/>
      <c r="Q5" s="1"/>
      <c r="R5" s="1"/>
    </row>
    <row r="6" spans="1:18" x14ac:dyDescent="0.3">
      <c r="A6" s="1" t="s">
        <v>64</v>
      </c>
      <c r="B6">
        <v>7</v>
      </c>
      <c r="C6" s="1" t="s">
        <v>65</v>
      </c>
      <c r="D6" s="1" t="s">
        <v>875</v>
      </c>
      <c r="E6" s="1" t="s">
        <v>66</v>
      </c>
      <c r="F6" s="1" t="s">
        <v>67</v>
      </c>
      <c r="G6" s="1" t="s">
        <v>882</v>
      </c>
      <c r="H6" s="1" t="s">
        <v>883</v>
      </c>
      <c r="I6" s="1" t="s">
        <v>55</v>
      </c>
      <c r="J6" s="1"/>
      <c r="K6" s="1"/>
      <c r="L6" s="1" t="s">
        <v>884</v>
      </c>
      <c r="M6" s="1" t="s">
        <v>70</v>
      </c>
      <c r="N6" s="1" t="s">
        <v>71</v>
      </c>
      <c r="O6" s="2">
        <v>45839</v>
      </c>
      <c r="P6" s="1"/>
      <c r="Q6" s="1"/>
      <c r="R6" s="1"/>
    </row>
    <row r="7" spans="1:18" x14ac:dyDescent="0.3">
      <c r="A7" s="1" t="s">
        <v>74</v>
      </c>
      <c r="B7">
        <v>8</v>
      </c>
      <c r="C7" s="1" t="s">
        <v>29</v>
      </c>
      <c r="D7" s="1" t="s">
        <v>875</v>
      </c>
      <c r="E7" s="1" t="s">
        <v>75</v>
      </c>
      <c r="F7" s="1" t="s">
        <v>76</v>
      </c>
      <c r="G7" s="1" t="s">
        <v>881</v>
      </c>
      <c r="H7" s="1"/>
      <c r="I7" s="1" t="s">
        <v>61</v>
      </c>
      <c r="J7" s="1"/>
      <c r="K7" s="1"/>
      <c r="L7" s="1" t="s">
        <v>78</v>
      </c>
      <c r="M7" s="1" t="s">
        <v>77</v>
      </c>
      <c r="N7" s="1" t="s">
        <v>56</v>
      </c>
      <c r="O7" s="2">
        <v>40909</v>
      </c>
      <c r="P7" s="1"/>
      <c r="Q7" s="1"/>
      <c r="R7" s="1"/>
    </row>
    <row r="8" spans="1:18" x14ac:dyDescent="0.3">
      <c r="A8" s="1" t="s">
        <v>80</v>
      </c>
      <c r="B8">
        <v>9</v>
      </c>
      <c r="C8" s="1" t="s">
        <v>81</v>
      </c>
      <c r="D8" s="1" t="s">
        <v>885</v>
      </c>
      <c r="E8" s="1" t="s">
        <v>83</v>
      </c>
      <c r="F8" s="1" t="s">
        <v>84</v>
      </c>
      <c r="G8" s="1" t="s">
        <v>886</v>
      </c>
      <c r="H8" s="1"/>
      <c r="I8" s="1" t="s">
        <v>55</v>
      </c>
      <c r="J8" s="1"/>
      <c r="K8" s="1"/>
      <c r="L8" s="1" t="s">
        <v>46</v>
      </c>
      <c r="M8" s="1" t="s">
        <v>46</v>
      </c>
      <c r="N8" s="1" t="s">
        <v>46</v>
      </c>
      <c r="O8" s="1" t="s">
        <v>46</v>
      </c>
      <c r="P8" s="1"/>
      <c r="Q8" s="1"/>
      <c r="R8" s="1"/>
    </row>
    <row r="9" spans="1:18" x14ac:dyDescent="0.3">
      <c r="A9" s="1" t="s">
        <v>87</v>
      </c>
      <c r="B9">
        <v>10</v>
      </c>
      <c r="C9" s="1" t="s">
        <v>29</v>
      </c>
      <c r="D9" s="1" t="s">
        <v>875</v>
      </c>
      <c r="E9" s="1" t="s">
        <v>88</v>
      </c>
      <c r="F9" s="1" t="s">
        <v>89</v>
      </c>
      <c r="G9" s="1" t="s">
        <v>887</v>
      </c>
      <c r="H9" s="1"/>
      <c r="I9" s="1" t="s">
        <v>55</v>
      </c>
      <c r="J9" s="1"/>
      <c r="K9" s="1"/>
      <c r="L9" s="1" t="s">
        <v>46</v>
      </c>
      <c r="M9" s="1" t="s">
        <v>46</v>
      </c>
      <c r="N9" s="1" t="s">
        <v>46</v>
      </c>
      <c r="O9" s="1" t="s">
        <v>46</v>
      </c>
      <c r="P9" s="1"/>
      <c r="Q9" s="1"/>
      <c r="R9" s="1"/>
    </row>
    <row r="10" spans="1:18" x14ac:dyDescent="0.3">
      <c r="A10" s="1" t="s">
        <v>91</v>
      </c>
      <c r="B10">
        <v>11</v>
      </c>
      <c r="C10" s="1" t="s">
        <v>92</v>
      </c>
      <c r="D10" s="1" t="s">
        <v>875</v>
      </c>
      <c r="E10" s="1" t="s">
        <v>93</v>
      </c>
      <c r="F10" s="1" t="s">
        <v>94</v>
      </c>
      <c r="G10" s="1" t="s">
        <v>888</v>
      </c>
      <c r="H10" s="1"/>
      <c r="I10" s="1" t="s">
        <v>35</v>
      </c>
      <c r="J10" s="1"/>
      <c r="K10" s="1"/>
      <c r="L10" s="1"/>
      <c r="M10" s="1"/>
      <c r="N10" s="1"/>
      <c r="O10" s="1"/>
      <c r="P10" s="1"/>
      <c r="Q10" s="1"/>
      <c r="R10" s="1"/>
    </row>
    <row r="11" spans="1:18" x14ac:dyDescent="0.3">
      <c r="A11" s="1" t="s">
        <v>95</v>
      </c>
      <c r="B11">
        <v>12</v>
      </c>
      <c r="C11" s="1" t="s">
        <v>50</v>
      </c>
      <c r="D11" s="1" t="s">
        <v>875</v>
      </c>
      <c r="E11" s="1" t="s">
        <v>96</v>
      </c>
      <c r="F11" s="1" t="s">
        <v>97</v>
      </c>
      <c r="G11" s="1" t="s">
        <v>889</v>
      </c>
      <c r="H11" s="1" t="s">
        <v>890</v>
      </c>
      <c r="I11" s="1" t="s">
        <v>55</v>
      </c>
      <c r="J11" s="1"/>
      <c r="K11" s="1"/>
      <c r="L11" s="2">
        <v>46843</v>
      </c>
      <c r="M11" s="1" t="s">
        <v>100</v>
      </c>
      <c r="N11" s="1" t="s">
        <v>101</v>
      </c>
      <c r="O11" s="2">
        <v>45748</v>
      </c>
      <c r="P11" s="1"/>
      <c r="Q11" s="1"/>
      <c r="R11" s="1"/>
    </row>
    <row r="12" spans="1:18" x14ac:dyDescent="0.3">
      <c r="A12" s="1" t="s">
        <v>102</v>
      </c>
      <c r="B12">
        <v>13</v>
      </c>
      <c r="C12" s="1" t="s">
        <v>103</v>
      </c>
      <c r="D12" s="1" t="s">
        <v>891</v>
      </c>
      <c r="E12" s="1" t="s">
        <v>105</v>
      </c>
      <c r="F12" s="1" t="s">
        <v>106</v>
      </c>
      <c r="G12" s="1" t="s">
        <v>107</v>
      </c>
      <c r="H12" s="1"/>
      <c r="I12" s="1" t="s">
        <v>55</v>
      </c>
      <c r="J12" s="1"/>
      <c r="K12" s="1"/>
      <c r="L12" s="2">
        <v>42978</v>
      </c>
      <c r="M12" s="1" t="s">
        <v>77</v>
      </c>
      <c r="N12" s="1" t="s">
        <v>71</v>
      </c>
      <c r="O12" s="1"/>
      <c r="P12" s="1"/>
      <c r="Q12" s="1"/>
      <c r="R12" s="1"/>
    </row>
    <row r="13" spans="1:18" x14ac:dyDescent="0.3">
      <c r="A13" s="1" t="s">
        <v>109</v>
      </c>
      <c r="B13">
        <v>14</v>
      </c>
      <c r="C13" s="1" t="s">
        <v>65</v>
      </c>
      <c r="D13" s="1" t="s">
        <v>875</v>
      </c>
      <c r="E13" s="1" t="s">
        <v>110</v>
      </c>
      <c r="F13" s="1" t="s">
        <v>111</v>
      </c>
      <c r="G13" s="1" t="s">
        <v>892</v>
      </c>
      <c r="H13" s="1" t="s">
        <v>893</v>
      </c>
      <c r="I13" s="1" t="s">
        <v>61</v>
      </c>
      <c r="J13" s="1"/>
      <c r="K13" s="1"/>
      <c r="L13" s="1"/>
      <c r="M13" s="1"/>
      <c r="N13" s="1"/>
      <c r="O13" s="1"/>
      <c r="P13" s="1"/>
      <c r="Q13" s="1"/>
      <c r="R13" s="1"/>
    </row>
    <row r="14" spans="1:18" x14ac:dyDescent="0.3">
      <c r="A14" s="1" t="s">
        <v>115</v>
      </c>
      <c r="B14">
        <v>15</v>
      </c>
      <c r="C14" s="1" t="s">
        <v>92</v>
      </c>
      <c r="D14" s="1" t="s">
        <v>875</v>
      </c>
      <c r="E14" s="1" t="s">
        <v>116</v>
      </c>
      <c r="F14" s="1" t="s">
        <v>117</v>
      </c>
      <c r="G14" s="1" t="s">
        <v>888</v>
      </c>
      <c r="H14" s="1"/>
      <c r="I14" s="1" t="s">
        <v>35</v>
      </c>
      <c r="J14" s="1"/>
      <c r="K14" s="1"/>
      <c r="L14" s="2">
        <v>47199</v>
      </c>
      <c r="M14" s="1" t="s">
        <v>36</v>
      </c>
      <c r="N14" s="1" t="s">
        <v>894</v>
      </c>
      <c r="O14" s="2">
        <v>45649</v>
      </c>
      <c r="P14" s="1"/>
      <c r="Q14" s="1"/>
      <c r="R14" s="1"/>
    </row>
    <row r="15" spans="1:18" x14ac:dyDescent="0.3">
      <c r="A15" s="1" t="s">
        <v>119</v>
      </c>
      <c r="B15">
        <v>16</v>
      </c>
      <c r="C15" s="1" t="s">
        <v>120</v>
      </c>
      <c r="D15" s="1" t="s">
        <v>875</v>
      </c>
      <c r="E15" s="1" t="s">
        <v>121</v>
      </c>
      <c r="F15" s="1" t="s">
        <v>122</v>
      </c>
      <c r="G15" s="1" t="s">
        <v>895</v>
      </c>
      <c r="H15" s="1" t="s">
        <v>123</v>
      </c>
      <c r="I15" s="1" t="s">
        <v>55</v>
      </c>
      <c r="J15" s="1"/>
      <c r="K15" s="1"/>
      <c r="L15" s="2">
        <v>47150</v>
      </c>
      <c r="M15" s="1" t="s">
        <v>77</v>
      </c>
      <c r="N15" s="1" t="s">
        <v>56</v>
      </c>
      <c r="O15" s="2">
        <v>46054</v>
      </c>
      <c r="P15" s="1"/>
      <c r="Q15" s="1"/>
      <c r="R15" s="1"/>
    </row>
    <row r="16" spans="1:18" x14ac:dyDescent="0.3">
      <c r="A16" s="1" t="s">
        <v>124</v>
      </c>
      <c r="B16">
        <v>17</v>
      </c>
      <c r="C16" s="1" t="s">
        <v>120</v>
      </c>
      <c r="D16" s="1" t="s">
        <v>875</v>
      </c>
      <c r="E16" s="1" t="s">
        <v>125</v>
      </c>
      <c r="F16" s="1" t="s">
        <v>126</v>
      </c>
      <c r="G16" s="1" t="s">
        <v>896</v>
      </c>
      <c r="H16" s="1" t="s">
        <v>127</v>
      </c>
      <c r="I16" s="1" t="s">
        <v>61</v>
      </c>
      <c r="J16" s="1"/>
      <c r="K16" s="1"/>
      <c r="L16" s="1"/>
      <c r="M16" s="1"/>
      <c r="N16" s="1"/>
      <c r="O16" s="1"/>
      <c r="P16" s="1"/>
      <c r="Q16" s="1"/>
      <c r="R16" s="1"/>
    </row>
    <row r="17" spans="1:18" x14ac:dyDescent="0.3">
      <c r="A17" s="1" t="s">
        <v>128</v>
      </c>
      <c r="B17">
        <v>18</v>
      </c>
      <c r="C17" s="1" t="s">
        <v>29</v>
      </c>
      <c r="D17" s="1" t="s">
        <v>875</v>
      </c>
      <c r="E17" s="1" t="s">
        <v>129</v>
      </c>
      <c r="F17" s="1" t="s">
        <v>130</v>
      </c>
      <c r="G17" s="1" t="s">
        <v>887</v>
      </c>
      <c r="H17" s="1" t="s">
        <v>131</v>
      </c>
      <c r="I17" s="1" t="s">
        <v>35</v>
      </c>
      <c r="J17" s="1"/>
      <c r="K17" s="1"/>
      <c r="L17" s="2">
        <v>42947</v>
      </c>
      <c r="M17" s="1" t="s">
        <v>77</v>
      </c>
      <c r="N17" s="1" t="s">
        <v>56</v>
      </c>
      <c r="O17" s="2">
        <v>41763</v>
      </c>
      <c r="P17" s="1"/>
      <c r="Q17" s="1"/>
      <c r="R17" s="1"/>
    </row>
    <row r="18" spans="1:18" x14ac:dyDescent="0.3">
      <c r="A18" s="1" t="s">
        <v>132</v>
      </c>
      <c r="B18">
        <v>19</v>
      </c>
      <c r="C18" s="1" t="s">
        <v>29</v>
      </c>
      <c r="D18" s="1" t="s">
        <v>875</v>
      </c>
      <c r="E18" s="1" t="s">
        <v>133</v>
      </c>
      <c r="F18" s="1" t="s">
        <v>134</v>
      </c>
      <c r="G18" s="1" t="s">
        <v>887</v>
      </c>
      <c r="H18" s="1" t="s">
        <v>131</v>
      </c>
      <c r="I18" s="1" t="s">
        <v>35</v>
      </c>
      <c r="J18" s="1"/>
      <c r="K18" s="1"/>
      <c r="L18" s="2">
        <v>42947</v>
      </c>
      <c r="M18" s="1" t="s">
        <v>77</v>
      </c>
      <c r="N18" s="1" t="s">
        <v>56</v>
      </c>
      <c r="O18" s="2">
        <v>41763</v>
      </c>
      <c r="P18" s="1"/>
      <c r="Q18" s="1"/>
      <c r="R18" s="1"/>
    </row>
    <row r="19" spans="1:18" x14ac:dyDescent="0.3">
      <c r="A19" s="1" t="s">
        <v>135</v>
      </c>
      <c r="B19">
        <v>20</v>
      </c>
      <c r="C19" s="1" t="s">
        <v>50</v>
      </c>
      <c r="D19" s="1" t="s">
        <v>875</v>
      </c>
      <c r="E19" s="1" t="s">
        <v>136</v>
      </c>
      <c r="F19" s="1" t="s">
        <v>137</v>
      </c>
      <c r="G19" s="1" t="s">
        <v>879</v>
      </c>
      <c r="H19" s="1" t="s">
        <v>897</v>
      </c>
      <c r="I19" s="1" t="s">
        <v>61</v>
      </c>
      <c r="J19" s="1"/>
      <c r="K19" s="1"/>
      <c r="L19" s="2">
        <v>46843</v>
      </c>
      <c r="M19" s="1" t="s">
        <v>100</v>
      </c>
      <c r="N19" s="1" t="s">
        <v>101</v>
      </c>
      <c r="O19" s="2">
        <v>45748</v>
      </c>
      <c r="P19" s="1"/>
      <c r="Q19" s="1"/>
      <c r="R19" s="1"/>
    </row>
    <row r="20" spans="1:18" x14ac:dyDescent="0.3">
      <c r="A20" s="1" t="s">
        <v>139</v>
      </c>
      <c r="B20">
        <v>21</v>
      </c>
      <c r="C20" s="1" t="s">
        <v>29</v>
      </c>
      <c r="D20" s="1" t="s">
        <v>875</v>
      </c>
      <c r="E20" s="1" t="s">
        <v>140</v>
      </c>
      <c r="F20" s="1" t="s">
        <v>141</v>
      </c>
      <c r="G20" s="1" t="s">
        <v>876</v>
      </c>
      <c r="H20" s="1" t="s">
        <v>898</v>
      </c>
      <c r="I20" s="1" t="s">
        <v>35</v>
      </c>
      <c r="J20" s="1"/>
      <c r="K20" s="1"/>
      <c r="L20" s="2">
        <v>45991</v>
      </c>
      <c r="M20" s="1" t="s">
        <v>100</v>
      </c>
      <c r="N20" s="1" t="s">
        <v>56</v>
      </c>
      <c r="O20" s="2">
        <v>45627</v>
      </c>
      <c r="P20" s="1"/>
      <c r="Q20" s="1"/>
      <c r="R20" s="1"/>
    </row>
    <row r="21" spans="1:18" x14ac:dyDescent="0.3">
      <c r="A21" s="1" t="s">
        <v>143</v>
      </c>
      <c r="B21">
        <v>22</v>
      </c>
      <c r="C21" s="1" t="s">
        <v>65</v>
      </c>
      <c r="D21" s="1" t="s">
        <v>875</v>
      </c>
      <c r="E21" s="1" t="s">
        <v>144</v>
      </c>
      <c r="F21" s="1" t="s">
        <v>145</v>
      </c>
      <c r="G21" s="1" t="s">
        <v>899</v>
      </c>
      <c r="H21" s="1" t="s">
        <v>146</v>
      </c>
      <c r="I21" s="1" t="s">
        <v>61</v>
      </c>
      <c r="J21" s="1"/>
      <c r="K21" s="1"/>
      <c r="L21" s="1" t="s">
        <v>78</v>
      </c>
      <c r="M21" s="1" t="s">
        <v>147</v>
      </c>
      <c r="N21" s="1" t="s">
        <v>56</v>
      </c>
      <c r="O21" s="2">
        <v>40909</v>
      </c>
      <c r="P21" s="1"/>
      <c r="Q21" s="1"/>
      <c r="R21" s="1"/>
    </row>
    <row r="22" spans="1:18" x14ac:dyDescent="0.3">
      <c r="A22" s="1" t="s">
        <v>148</v>
      </c>
      <c r="B22">
        <v>23</v>
      </c>
      <c r="C22" s="1" t="s">
        <v>50</v>
      </c>
      <c r="D22" s="1" t="s">
        <v>875</v>
      </c>
      <c r="E22" s="1" t="s">
        <v>149</v>
      </c>
      <c r="F22" s="1" t="s">
        <v>150</v>
      </c>
      <c r="G22" s="1" t="s">
        <v>879</v>
      </c>
      <c r="H22" s="1" t="s">
        <v>897</v>
      </c>
      <c r="I22" s="1" t="s">
        <v>61</v>
      </c>
      <c r="J22" s="1"/>
      <c r="K22" s="1"/>
      <c r="L22" s="1"/>
      <c r="M22" s="1"/>
      <c r="N22" s="1"/>
      <c r="O22" s="1"/>
      <c r="P22" s="1"/>
      <c r="Q22" s="1"/>
      <c r="R22" s="1"/>
    </row>
    <row r="23" spans="1:18" x14ac:dyDescent="0.3">
      <c r="A23" s="1" t="s">
        <v>151</v>
      </c>
      <c r="B23">
        <v>24</v>
      </c>
      <c r="C23" s="1" t="s">
        <v>29</v>
      </c>
      <c r="D23" s="1" t="s">
        <v>875</v>
      </c>
      <c r="E23" s="1" t="s">
        <v>152</v>
      </c>
      <c r="F23" s="1" t="s">
        <v>153</v>
      </c>
      <c r="G23" s="1" t="s">
        <v>876</v>
      </c>
      <c r="H23" s="1" t="s">
        <v>900</v>
      </c>
      <c r="I23" s="1" t="s">
        <v>35</v>
      </c>
      <c r="J23" s="1"/>
      <c r="K23" s="1"/>
      <c r="L23" s="2">
        <v>46538</v>
      </c>
      <c r="M23" s="1" t="s">
        <v>36</v>
      </c>
      <c r="N23" s="1" t="s">
        <v>56</v>
      </c>
      <c r="O23" s="2">
        <v>45809</v>
      </c>
      <c r="P23" s="1"/>
      <c r="Q23" s="1"/>
      <c r="R23" s="1"/>
    </row>
    <row r="24" spans="1:18" x14ac:dyDescent="0.3">
      <c r="A24" s="1" t="s">
        <v>155</v>
      </c>
      <c r="B24">
        <v>25</v>
      </c>
      <c r="C24" s="1" t="s">
        <v>65</v>
      </c>
      <c r="D24" s="1" t="s">
        <v>875</v>
      </c>
      <c r="E24" s="1" t="s">
        <v>156</v>
      </c>
      <c r="F24" s="1" t="s">
        <v>157</v>
      </c>
      <c r="G24" s="1" t="s">
        <v>901</v>
      </c>
      <c r="H24" s="1" t="s">
        <v>902</v>
      </c>
      <c r="I24" s="1" t="s">
        <v>55</v>
      </c>
      <c r="J24" s="1"/>
      <c r="K24" s="1"/>
      <c r="L24" s="2">
        <v>47118</v>
      </c>
      <c r="M24" s="1" t="s">
        <v>77</v>
      </c>
      <c r="N24" s="1" t="s">
        <v>56</v>
      </c>
      <c r="O24" s="2">
        <v>45292</v>
      </c>
      <c r="P24" s="1"/>
      <c r="Q24" s="1"/>
      <c r="R24" s="1"/>
    </row>
    <row r="25" spans="1:18" x14ac:dyDescent="0.3">
      <c r="A25" s="1" t="s">
        <v>160</v>
      </c>
      <c r="B25">
        <v>26</v>
      </c>
      <c r="C25" s="1" t="s">
        <v>29</v>
      </c>
      <c r="D25" s="1" t="s">
        <v>875</v>
      </c>
      <c r="E25" s="1" t="s">
        <v>161</v>
      </c>
      <c r="F25" s="1" t="s">
        <v>162</v>
      </c>
      <c r="G25" s="1" t="s">
        <v>876</v>
      </c>
      <c r="H25" s="1" t="s">
        <v>877</v>
      </c>
      <c r="I25" s="1" t="s">
        <v>61</v>
      </c>
      <c r="J25" s="1"/>
      <c r="K25" s="1"/>
      <c r="L25" s="1"/>
      <c r="M25" s="1"/>
      <c r="N25" s="1"/>
      <c r="O25" s="1"/>
      <c r="P25" s="1"/>
      <c r="Q25" s="1"/>
      <c r="R25" s="1"/>
    </row>
    <row r="26" spans="1:18" x14ac:dyDescent="0.3">
      <c r="A26" s="1" t="s">
        <v>163</v>
      </c>
      <c r="B26">
        <v>27</v>
      </c>
      <c r="C26" s="1" t="s">
        <v>92</v>
      </c>
      <c r="D26" s="1" t="s">
        <v>875</v>
      </c>
      <c r="E26" s="1" t="s">
        <v>164</v>
      </c>
      <c r="F26" s="1" t="s">
        <v>165</v>
      </c>
      <c r="G26" s="1" t="s">
        <v>903</v>
      </c>
      <c r="H26" s="1"/>
      <c r="I26" s="1" t="s">
        <v>61</v>
      </c>
      <c r="J26" s="1"/>
      <c r="K26" s="1"/>
      <c r="L26" s="1"/>
      <c r="M26" s="1"/>
      <c r="N26" s="1"/>
      <c r="O26" s="1"/>
      <c r="P26" s="1"/>
      <c r="Q26" s="1"/>
      <c r="R26" s="1"/>
    </row>
    <row r="27" spans="1:18" x14ac:dyDescent="0.3">
      <c r="A27" s="1" t="s">
        <v>166</v>
      </c>
      <c r="B27">
        <v>28</v>
      </c>
      <c r="C27" s="1" t="s">
        <v>29</v>
      </c>
      <c r="D27" s="1" t="s">
        <v>875</v>
      </c>
      <c r="E27" s="1" t="s">
        <v>167</v>
      </c>
      <c r="F27" s="1" t="s">
        <v>168</v>
      </c>
      <c r="G27" s="1" t="s">
        <v>881</v>
      </c>
      <c r="H27" s="1"/>
      <c r="I27" s="1" t="s">
        <v>55</v>
      </c>
      <c r="J27" s="1"/>
      <c r="K27" s="1"/>
      <c r="L27" s="2">
        <v>45822</v>
      </c>
      <c r="M27" s="1" t="s">
        <v>77</v>
      </c>
      <c r="N27" s="1" t="s">
        <v>56</v>
      </c>
      <c r="O27" s="2">
        <v>45458</v>
      </c>
      <c r="P27" s="1"/>
      <c r="Q27" s="1"/>
      <c r="R27" s="1"/>
    </row>
    <row r="28" spans="1:18" x14ac:dyDescent="0.3">
      <c r="A28" s="1" t="s">
        <v>169</v>
      </c>
      <c r="B28">
        <v>29</v>
      </c>
      <c r="C28" s="1" t="s">
        <v>29</v>
      </c>
      <c r="D28" s="1" t="s">
        <v>875</v>
      </c>
      <c r="E28" s="1" t="s">
        <v>170</v>
      </c>
      <c r="F28" s="1" t="s">
        <v>171</v>
      </c>
      <c r="G28" s="1" t="s">
        <v>876</v>
      </c>
      <c r="H28" s="1" t="s">
        <v>904</v>
      </c>
      <c r="I28" s="1" t="s">
        <v>35</v>
      </c>
      <c r="J28" s="1"/>
      <c r="K28" s="1"/>
      <c r="L28" s="1" t="s">
        <v>46</v>
      </c>
      <c r="M28" s="1" t="s">
        <v>46</v>
      </c>
      <c r="N28" s="1" t="s">
        <v>46</v>
      </c>
      <c r="O28" s="1" t="s">
        <v>46</v>
      </c>
      <c r="P28" s="1"/>
      <c r="Q28" s="1"/>
      <c r="R28" s="1"/>
    </row>
    <row r="29" spans="1:18" x14ac:dyDescent="0.3">
      <c r="A29" s="1" t="s">
        <v>173</v>
      </c>
      <c r="B29">
        <v>30</v>
      </c>
      <c r="C29" s="1" t="s">
        <v>92</v>
      </c>
      <c r="D29" s="1" t="s">
        <v>875</v>
      </c>
      <c r="E29" s="1" t="s">
        <v>174</v>
      </c>
      <c r="F29" s="1" t="s">
        <v>175</v>
      </c>
      <c r="G29" s="1" t="s">
        <v>903</v>
      </c>
      <c r="H29" s="1"/>
      <c r="I29" s="1" t="s">
        <v>61</v>
      </c>
      <c r="J29" s="1"/>
      <c r="K29" s="1"/>
      <c r="L29" s="1"/>
      <c r="M29" s="1"/>
      <c r="N29" s="1"/>
      <c r="O29" s="1"/>
      <c r="P29" s="1"/>
      <c r="Q29" s="1"/>
      <c r="R29" s="1"/>
    </row>
    <row r="30" spans="1:18" x14ac:dyDescent="0.3">
      <c r="A30" s="1" t="s">
        <v>176</v>
      </c>
      <c r="B30">
        <v>31</v>
      </c>
      <c r="C30" s="1" t="s">
        <v>29</v>
      </c>
      <c r="D30" s="1" t="s">
        <v>875</v>
      </c>
      <c r="E30" s="1" t="s">
        <v>177</v>
      </c>
      <c r="F30" s="1" t="s">
        <v>178</v>
      </c>
      <c r="G30" s="1" t="s">
        <v>876</v>
      </c>
      <c r="H30" s="1" t="s">
        <v>904</v>
      </c>
      <c r="I30" s="1" t="s">
        <v>35</v>
      </c>
      <c r="J30" s="1"/>
      <c r="K30" s="1"/>
      <c r="L30" s="1"/>
      <c r="M30" s="1"/>
      <c r="N30" s="1"/>
      <c r="O30" s="1"/>
      <c r="P30" s="1"/>
      <c r="Q30" s="1"/>
      <c r="R30" s="1"/>
    </row>
    <row r="31" spans="1:18" x14ac:dyDescent="0.3">
      <c r="A31" s="1" t="s">
        <v>179</v>
      </c>
      <c r="B31">
        <v>32</v>
      </c>
      <c r="C31" s="1" t="s">
        <v>81</v>
      </c>
      <c r="D31" s="1" t="s">
        <v>885</v>
      </c>
      <c r="E31" s="1" t="s">
        <v>180</v>
      </c>
      <c r="F31" s="1" t="s">
        <v>181</v>
      </c>
      <c r="G31" s="1" t="s">
        <v>886</v>
      </c>
      <c r="H31" s="1"/>
      <c r="I31" s="1" t="s">
        <v>55</v>
      </c>
      <c r="J31" s="1"/>
      <c r="K31" s="1"/>
      <c r="L31" s="1" t="s">
        <v>46</v>
      </c>
      <c r="M31" s="1" t="s">
        <v>46</v>
      </c>
      <c r="N31" s="1" t="s">
        <v>46</v>
      </c>
      <c r="O31" s="1" t="s">
        <v>46</v>
      </c>
      <c r="P31" s="1"/>
      <c r="Q31" s="1"/>
      <c r="R31" s="1"/>
    </row>
    <row r="32" spans="1:18" x14ac:dyDescent="0.3">
      <c r="A32" s="1" t="s">
        <v>182</v>
      </c>
      <c r="B32">
        <v>33</v>
      </c>
      <c r="C32" s="1" t="s">
        <v>29</v>
      </c>
      <c r="D32" s="1" t="s">
        <v>875</v>
      </c>
      <c r="E32" s="1" t="s">
        <v>183</v>
      </c>
      <c r="F32" s="1" t="s">
        <v>184</v>
      </c>
      <c r="G32" s="1" t="s">
        <v>881</v>
      </c>
      <c r="H32" s="1"/>
      <c r="I32" s="1" t="s">
        <v>55</v>
      </c>
      <c r="J32" s="1"/>
      <c r="K32" s="1"/>
      <c r="L32" s="2">
        <v>46053</v>
      </c>
      <c r="M32" s="1" t="s">
        <v>100</v>
      </c>
      <c r="N32" s="1" t="s">
        <v>37</v>
      </c>
      <c r="O32" s="2">
        <v>45689</v>
      </c>
      <c r="P32" s="1"/>
      <c r="Q32" s="1"/>
      <c r="R32" s="1"/>
    </row>
    <row r="33" spans="1:18" x14ac:dyDescent="0.3">
      <c r="A33" s="1" t="s">
        <v>185</v>
      </c>
      <c r="B33">
        <v>34</v>
      </c>
      <c r="C33" s="1" t="s">
        <v>29</v>
      </c>
      <c r="D33" s="1" t="s">
        <v>875</v>
      </c>
      <c r="E33" s="1" t="s">
        <v>186</v>
      </c>
      <c r="F33" s="1" t="s">
        <v>187</v>
      </c>
      <c r="G33" s="1" t="s">
        <v>876</v>
      </c>
      <c r="H33" s="1" t="s">
        <v>905</v>
      </c>
      <c r="I33" s="1" t="s">
        <v>35</v>
      </c>
      <c r="J33" s="1"/>
      <c r="K33" s="1"/>
      <c r="L33" s="1" t="s">
        <v>46</v>
      </c>
      <c r="M33" s="1" t="s">
        <v>46</v>
      </c>
      <c r="N33" s="1" t="s">
        <v>46</v>
      </c>
      <c r="O33" s="1" t="s">
        <v>46</v>
      </c>
      <c r="P33" s="1"/>
      <c r="Q33" s="1"/>
      <c r="R33" s="1"/>
    </row>
    <row r="34" spans="1:18" x14ac:dyDescent="0.3">
      <c r="A34" s="1" t="s">
        <v>189</v>
      </c>
      <c r="B34">
        <v>35</v>
      </c>
      <c r="C34" s="1" t="s">
        <v>29</v>
      </c>
      <c r="D34" s="1" t="s">
        <v>875</v>
      </c>
      <c r="E34" s="1" t="s">
        <v>190</v>
      </c>
      <c r="F34" s="1" t="s">
        <v>191</v>
      </c>
      <c r="G34" s="1" t="s">
        <v>887</v>
      </c>
      <c r="H34" s="1" t="s">
        <v>906</v>
      </c>
      <c r="I34" s="1" t="s">
        <v>55</v>
      </c>
      <c r="J34" s="1"/>
      <c r="K34" s="1"/>
      <c r="L34" s="2">
        <v>46691</v>
      </c>
      <c r="M34" s="1" t="s">
        <v>193</v>
      </c>
      <c r="N34" s="1" t="s">
        <v>56</v>
      </c>
      <c r="O34" s="2">
        <v>46691</v>
      </c>
      <c r="P34" s="1"/>
      <c r="Q34" s="1"/>
      <c r="R34" s="1"/>
    </row>
    <row r="35" spans="1:18" x14ac:dyDescent="0.3">
      <c r="A35" s="1" t="s">
        <v>195</v>
      </c>
      <c r="B35">
        <v>36</v>
      </c>
      <c r="C35" s="1" t="s">
        <v>29</v>
      </c>
      <c r="D35" s="1" t="s">
        <v>875</v>
      </c>
      <c r="E35" s="1" t="s">
        <v>196</v>
      </c>
      <c r="F35" s="1" t="s">
        <v>197</v>
      </c>
      <c r="G35" s="1" t="s">
        <v>881</v>
      </c>
      <c r="H35" s="1"/>
      <c r="I35" s="1" t="s">
        <v>55</v>
      </c>
      <c r="J35" s="1"/>
      <c r="K35" s="1"/>
      <c r="L35" s="1"/>
      <c r="M35" s="1"/>
      <c r="N35" s="1"/>
      <c r="O35" s="1"/>
      <c r="P35" s="1"/>
      <c r="Q35" s="1"/>
      <c r="R35" s="1"/>
    </row>
    <row r="36" spans="1:18" x14ac:dyDescent="0.3">
      <c r="A36" s="1" t="s">
        <v>198</v>
      </c>
      <c r="B36">
        <v>37</v>
      </c>
      <c r="C36" s="1" t="s">
        <v>29</v>
      </c>
      <c r="D36" s="1" t="s">
        <v>907</v>
      </c>
      <c r="E36" s="1" t="s">
        <v>200</v>
      </c>
      <c r="F36" s="1" t="s">
        <v>201</v>
      </c>
      <c r="G36" s="1" t="s">
        <v>876</v>
      </c>
      <c r="H36" s="1" t="s">
        <v>905</v>
      </c>
      <c r="I36" s="1" t="s">
        <v>35</v>
      </c>
      <c r="J36" s="1"/>
      <c r="K36" s="1"/>
      <c r="L36" s="1" t="s">
        <v>202</v>
      </c>
      <c r="M36" s="1" t="s">
        <v>202</v>
      </c>
      <c r="N36" s="1" t="s">
        <v>202</v>
      </c>
      <c r="O36" s="1" t="s">
        <v>202</v>
      </c>
      <c r="P36" s="1"/>
      <c r="Q36" s="1"/>
      <c r="R36" s="1"/>
    </row>
    <row r="37" spans="1:18" x14ac:dyDescent="0.3">
      <c r="A37" s="1" t="s">
        <v>204</v>
      </c>
      <c r="B37">
        <v>38</v>
      </c>
      <c r="C37" s="1" t="s">
        <v>92</v>
      </c>
      <c r="D37" s="1" t="s">
        <v>875</v>
      </c>
      <c r="E37" s="1" t="s">
        <v>205</v>
      </c>
      <c r="F37" s="1" t="s">
        <v>206</v>
      </c>
      <c r="G37" s="1" t="s">
        <v>903</v>
      </c>
      <c r="H37" s="1"/>
      <c r="I37" s="1" t="s">
        <v>61</v>
      </c>
      <c r="J37" s="1"/>
      <c r="K37" s="1"/>
      <c r="L37" s="1"/>
      <c r="M37" s="1"/>
      <c r="N37" s="1"/>
      <c r="O37" s="1"/>
      <c r="P37" s="1"/>
      <c r="Q37" s="1"/>
      <c r="R37" s="1"/>
    </row>
    <row r="38" spans="1:18" x14ac:dyDescent="0.3">
      <c r="A38" s="1" t="s">
        <v>207</v>
      </c>
      <c r="B38">
        <v>39</v>
      </c>
      <c r="C38" s="1" t="s">
        <v>81</v>
      </c>
      <c r="D38" s="1" t="s">
        <v>885</v>
      </c>
      <c r="E38" s="1" t="s">
        <v>208</v>
      </c>
      <c r="F38" s="1" t="s">
        <v>209</v>
      </c>
      <c r="G38" s="1" t="s">
        <v>210</v>
      </c>
      <c r="H38" s="1" t="s">
        <v>211</v>
      </c>
      <c r="I38" s="1" t="s">
        <v>55</v>
      </c>
      <c r="J38" s="1"/>
      <c r="K38" s="1"/>
      <c r="L38" s="1" t="s">
        <v>212</v>
      </c>
      <c r="M38" s="1" t="s">
        <v>77</v>
      </c>
      <c r="N38" s="1" t="s">
        <v>56</v>
      </c>
      <c r="O38" s="2">
        <v>39048</v>
      </c>
      <c r="P38" s="1"/>
      <c r="Q38" s="1"/>
      <c r="R38" s="1"/>
    </row>
    <row r="39" spans="1:18" x14ac:dyDescent="0.3">
      <c r="A39" s="1" t="s">
        <v>214</v>
      </c>
      <c r="B39">
        <v>40</v>
      </c>
      <c r="C39" s="1" t="s">
        <v>65</v>
      </c>
      <c r="D39" s="1" t="s">
        <v>875</v>
      </c>
      <c r="E39" s="1" t="s">
        <v>215</v>
      </c>
      <c r="F39" s="1" t="s">
        <v>216</v>
      </c>
      <c r="G39" s="1" t="s">
        <v>901</v>
      </c>
      <c r="H39" s="1" t="s">
        <v>902</v>
      </c>
      <c r="I39" s="1" t="s">
        <v>55</v>
      </c>
      <c r="J39" s="1"/>
      <c r="K39" s="1"/>
      <c r="L39" s="2">
        <v>47118</v>
      </c>
      <c r="M39" s="1" t="s">
        <v>77</v>
      </c>
      <c r="N39" s="1" t="s">
        <v>56</v>
      </c>
      <c r="O39" s="2">
        <v>45292</v>
      </c>
      <c r="P39" s="1"/>
      <c r="Q39" s="1"/>
      <c r="R39" s="1"/>
    </row>
    <row r="40" spans="1:18" x14ac:dyDescent="0.3">
      <c r="A40" s="1" t="s">
        <v>217</v>
      </c>
      <c r="B40">
        <v>41</v>
      </c>
      <c r="C40" s="1" t="s">
        <v>29</v>
      </c>
      <c r="D40" s="1" t="s">
        <v>907</v>
      </c>
      <c r="E40" s="1" t="s">
        <v>218</v>
      </c>
      <c r="F40" s="1" t="s">
        <v>219</v>
      </c>
      <c r="G40" s="1" t="s">
        <v>876</v>
      </c>
      <c r="H40" s="1" t="s">
        <v>905</v>
      </c>
      <c r="I40" s="1" t="s">
        <v>35</v>
      </c>
      <c r="J40" s="1"/>
      <c r="K40" s="1"/>
      <c r="L40" s="1" t="s">
        <v>202</v>
      </c>
      <c r="M40" s="1" t="s">
        <v>202</v>
      </c>
      <c r="N40" s="1" t="s">
        <v>202</v>
      </c>
      <c r="O40" s="1" t="s">
        <v>202</v>
      </c>
      <c r="P40" s="1"/>
      <c r="Q40" s="1"/>
      <c r="R40" s="1"/>
    </row>
    <row r="41" spans="1:18" x14ac:dyDescent="0.3">
      <c r="A41" s="1" t="s">
        <v>221</v>
      </c>
      <c r="B41">
        <v>42</v>
      </c>
      <c r="C41" s="1" t="s">
        <v>29</v>
      </c>
      <c r="D41" s="1" t="s">
        <v>875</v>
      </c>
      <c r="E41" s="1" t="s">
        <v>222</v>
      </c>
      <c r="F41" s="1" t="s">
        <v>223</v>
      </c>
      <c r="G41" s="1" t="s">
        <v>876</v>
      </c>
      <c r="H41" s="1" t="s">
        <v>908</v>
      </c>
      <c r="I41" s="1" t="s">
        <v>35</v>
      </c>
      <c r="J41" s="1"/>
      <c r="K41" s="1"/>
      <c r="L41" s="1" t="s">
        <v>909</v>
      </c>
      <c r="M41" s="1" t="s">
        <v>193</v>
      </c>
      <c r="N41" s="1" t="s">
        <v>56</v>
      </c>
      <c r="O41" s="2">
        <v>45992</v>
      </c>
      <c r="P41" s="1"/>
      <c r="Q41" s="1"/>
      <c r="R41" s="1"/>
    </row>
    <row r="42" spans="1:18" x14ac:dyDescent="0.3">
      <c r="A42" s="1" t="s">
        <v>226</v>
      </c>
      <c r="B42">
        <v>43</v>
      </c>
      <c r="C42" s="1" t="s">
        <v>81</v>
      </c>
      <c r="D42" s="1" t="s">
        <v>875</v>
      </c>
      <c r="E42" s="1" t="s">
        <v>227</v>
      </c>
      <c r="F42" s="1" t="s">
        <v>228</v>
      </c>
      <c r="G42" s="1" t="s">
        <v>910</v>
      </c>
      <c r="H42" s="1" t="s">
        <v>911</v>
      </c>
      <c r="I42" s="1" t="s">
        <v>55</v>
      </c>
      <c r="J42" s="1"/>
      <c r="K42" s="1"/>
      <c r="L42" s="1" t="s">
        <v>46</v>
      </c>
      <c r="M42" s="1" t="s">
        <v>46</v>
      </c>
      <c r="N42" s="1" t="s">
        <v>46</v>
      </c>
      <c r="O42" s="1" t="s">
        <v>46</v>
      </c>
      <c r="P42" s="1"/>
      <c r="Q42" s="1"/>
      <c r="R42" s="1"/>
    </row>
    <row r="43" spans="1:18" x14ac:dyDescent="0.3">
      <c r="A43" s="1" t="s">
        <v>231</v>
      </c>
      <c r="B43">
        <v>44</v>
      </c>
      <c r="C43" s="1" t="s">
        <v>29</v>
      </c>
      <c r="D43" s="1" t="s">
        <v>875</v>
      </c>
      <c r="E43" s="1" t="s">
        <v>232</v>
      </c>
      <c r="F43" s="1" t="s">
        <v>233</v>
      </c>
      <c r="G43" s="1" t="s">
        <v>876</v>
      </c>
      <c r="H43" s="1" t="s">
        <v>908</v>
      </c>
      <c r="I43" s="1" t="s">
        <v>35</v>
      </c>
      <c r="J43" s="1"/>
      <c r="K43" s="1"/>
      <c r="L43" s="1" t="s">
        <v>909</v>
      </c>
      <c r="M43" s="1" t="s">
        <v>193</v>
      </c>
      <c r="N43" s="1" t="s">
        <v>56</v>
      </c>
      <c r="O43" s="2">
        <v>45992</v>
      </c>
      <c r="P43" s="1"/>
      <c r="Q43" s="1"/>
      <c r="R43" s="1"/>
    </row>
    <row r="44" spans="1:18" x14ac:dyDescent="0.3">
      <c r="A44" s="1" t="s">
        <v>234</v>
      </c>
      <c r="B44">
        <v>45</v>
      </c>
      <c r="C44" s="1" t="s">
        <v>92</v>
      </c>
      <c r="D44" s="1" t="s">
        <v>875</v>
      </c>
      <c r="E44" s="1" t="s">
        <v>235</v>
      </c>
      <c r="F44" s="1" t="s">
        <v>236</v>
      </c>
      <c r="G44" s="1" t="s">
        <v>912</v>
      </c>
      <c r="H44" s="1"/>
      <c r="I44" s="1" t="s">
        <v>55</v>
      </c>
      <c r="J44" s="1"/>
      <c r="K44" s="1"/>
      <c r="L44" s="2">
        <v>47094</v>
      </c>
      <c r="M44" s="1" t="s">
        <v>36</v>
      </c>
      <c r="N44" s="1" t="s">
        <v>37</v>
      </c>
      <c r="O44" s="2">
        <v>45999</v>
      </c>
      <c r="P44" s="1"/>
      <c r="Q44" s="1"/>
      <c r="R44" s="1"/>
    </row>
    <row r="45" spans="1:18" x14ac:dyDescent="0.3">
      <c r="A45" s="1" t="s">
        <v>237</v>
      </c>
      <c r="B45">
        <v>46</v>
      </c>
      <c r="C45" s="1" t="s">
        <v>29</v>
      </c>
      <c r="D45" s="1" t="s">
        <v>875</v>
      </c>
      <c r="E45" s="1" t="s">
        <v>238</v>
      </c>
      <c r="F45" s="1" t="s">
        <v>239</v>
      </c>
      <c r="G45" s="1" t="s">
        <v>881</v>
      </c>
      <c r="H45" s="1"/>
      <c r="I45" s="1" t="s">
        <v>55</v>
      </c>
      <c r="J45" s="1"/>
      <c r="K45" s="1"/>
      <c r="L45" s="1" t="s">
        <v>78</v>
      </c>
      <c r="M45" s="1" t="s">
        <v>193</v>
      </c>
      <c r="N45" s="1" t="s">
        <v>212</v>
      </c>
      <c r="O45" s="2">
        <v>46319</v>
      </c>
      <c r="P45" s="1"/>
      <c r="Q45" s="1"/>
      <c r="R45" s="1"/>
    </row>
    <row r="46" spans="1:18" x14ac:dyDescent="0.3">
      <c r="A46" s="1" t="s">
        <v>241</v>
      </c>
      <c r="B46">
        <v>47</v>
      </c>
      <c r="C46" s="1" t="s">
        <v>103</v>
      </c>
      <c r="D46" s="1" t="s">
        <v>875</v>
      </c>
      <c r="E46" s="1" t="s">
        <v>242</v>
      </c>
      <c r="F46" s="1" t="s">
        <v>243</v>
      </c>
      <c r="G46" s="1" t="s">
        <v>913</v>
      </c>
      <c r="H46" s="1"/>
      <c r="I46" s="1" t="s">
        <v>61</v>
      </c>
      <c r="J46" s="1"/>
      <c r="K46" s="1"/>
      <c r="L46" s="1"/>
      <c r="M46" s="1"/>
      <c r="N46" s="1"/>
      <c r="O46" s="1"/>
      <c r="P46" s="1"/>
      <c r="Q46" s="1"/>
      <c r="R46" s="1"/>
    </row>
    <row r="47" spans="1:18" x14ac:dyDescent="0.3">
      <c r="A47" s="1" t="s">
        <v>245</v>
      </c>
      <c r="B47">
        <v>48</v>
      </c>
      <c r="C47" s="1" t="s">
        <v>65</v>
      </c>
      <c r="D47" s="1" t="s">
        <v>875</v>
      </c>
      <c r="E47" s="1" t="s">
        <v>246</v>
      </c>
      <c r="F47" s="1" t="s">
        <v>247</v>
      </c>
      <c r="G47" s="1" t="s">
        <v>914</v>
      </c>
      <c r="H47" s="1" t="s">
        <v>249</v>
      </c>
      <c r="I47" s="1" t="s">
        <v>61</v>
      </c>
      <c r="J47" s="1"/>
      <c r="K47" s="1"/>
      <c r="L47" s="1"/>
      <c r="M47" s="1"/>
      <c r="N47" s="1"/>
      <c r="O47" s="1"/>
      <c r="P47" s="1"/>
      <c r="Q47" s="1"/>
      <c r="R47" s="1"/>
    </row>
    <row r="48" spans="1:18" x14ac:dyDescent="0.3">
      <c r="A48" s="1" t="s">
        <v>250</v>
      </c>
      <c r="B48">
        <v>49</v>
      </c>
      <c r="C48" s="1" t="s">
        <v>92</v>
      </c>
      <c r="D48" s="1" t="s">
        <v>875</v>
      </c>
      <c r="E48" s="1" t="s">
        <v>251</v>
      </c>
      <c r="F48" s="1" t="s">
        <v>252</v>
      </c>
      <c r="G48" s="1" t="s">
        <v>888</v>
      </c>
      <c r="H48" s="1"/>
      <c r="I48" s="1" t="s">
        <v>35</v>
      </c>
      <c r="J48" s="1"/>
      <c r="K48" s="1"/>
      <c r="L48" s="2">
        <v>45412</v>
      </c>
      <c r="M48" s="1" t="s">
        <v>77</v>
      </c>
      <c r="N48" s="1" t="s">
        <v>56</v>
      </c>
      <c r="O48" s="2">
        <v>44317</v>
      </c>
      <c r="P48" s="1"/>
      <c r="Q48" s="1"/>
      <c r="R48" s="1"/>
    </row>
    <row r="49" spans="1:18" x14ac:dyDescent="0.3">
      <c r="A49" s="1" t="s">
        <v>253</v>
      </c>
      <c r="B49">
        <v>50</v>
      </c>
      <c r="C49" s="1" t="s">
        <v>29</v>
      </c>
      <c r="D49" s="1" t="s">
        <v>875</v>
      </c>
      <c r="E49" s="1" t="s">
        <v>254</v>
      </c>
      <c r="F49" s="1" t="s">
        <v>255</v>
      </c>
      <c r="G49" s="1" t="s">
        <v>887</v>
      </c>
      <c r="H49" s="1" t="s">
        <v>906</v>
      </c>
      <c r="I49" s="1" t="s">
        <v>55</v>
      </c>
      <c r="J49" s="1"/>
      <c r="K49" s="1"/>
      <c r="L49" s="1" t="s">
        <v>46</v>
      </c>
      <c r="M49" s="1" t="s">
        <v>46</v>
      </c>
      <c r="N49" s="1" t="s">
        <v>46</v>
      </c>
      <c r="O49" s="1" t="s">
        <v>46</v>
      </c>
      <c r="P49" s="1"/>
      <c r="Q49" s="1"/>
      <c r="R49" s="1"/>
    </row>
    <row r="50" spans="1:18" x14ac:dyDescent="0.3">
      <c r="A50" s="1" t="s">
        <v>256</v>
      </c>
      <c r="B50">
        <v>51</v>
      </c>
      <c r="C50" s="1" t="s">
        <v>65</v>
      </c>
      <c r="D50" s="1" t="s">
        <v>875</v>
      </c>
      <c r="E50" s="1" t="s">
        <v>257</v>
      </c>
      <c r="F50" s="1" t="s">
        <v>258</v>
      </c>
      <c r="G50" s="1" t="s">
        <v>259</v>
      </c>
      <c r="H50" s="1" t="s">
        <v>915</v>
      </c>
      <c r="I50" s="1" t="s">
        <v>61</v>
      </c>
      <c r="J50" s="1"/>
      <c r="K50" s="1"/>
      <c r="L50" s="1"/>
      <c r="M50" s="1"/>
      <c r="N50" s="1"/>
      <c r="O50" s="1"/>
      <c r="P50" s="1"/>
      <c r="Q50" s="1"/>
      <c r="R50" s="1"/>
    </row>
    <row r="51" spans="1:18" x14ac:dyDescent="0.3">
      <c r="A51" s="1" t="s">
        <v>260</v>
      </c>
      <c r="B51">
        <v>52</v>
      </c>
      <c r="C51" s="1" t="s">
        <v>81</v>
      </c>
      <c r="D51" s="1" t="s">
        <v>875</v>
      </c>
      <c r="E51" s="1" t="s">
        <v>261</v>
      </c>
      <c r="F51" s="1" t="s">
        <v>262</v>
      </c>
      <c r="G51" s="1" t="s">
        <v>916</v>
      </c>
      <c r="H51" s="1"/>
      <c r="I51" s="1" t="s">
        <v>55</v>
      </c>
      <c r="J51" s="1"/>
      <c r="K51" s="1"/>
      <c r="L51" s="1" t="s">
        <v>46</v>
      </c>
      <c r="M51" s="1" t="s">
        <v>46</v>
      </c>
      <c r="N51" s="1" t="s">
        <v>46</v>
      </c>
      <c r="O51" s="1" t="s">
        <v>46</v>
      </c>
      <c r="P51" s="1"/>
      <c r="Q51" s="1"/>
      <c r="R51" s="1"/>
    </row>
    <row r="52" spans="1:18" x14ac:dyDescent="0.3">
      <c r="A52" s="1" t="s">
        <v>264</v>
      </c>
      <c r="B52">
        <v>53</v>
      </c>
      <c r="C52" s="1" t="s">
        <v>81</v>
      </c>
      <c r="D52" s="1" t="s">
        <v>875</v>
      </c>
      <c r="E52" s="1" t="s">
        <v>265</v>
      </c>
      <c r="F52" s="1" t="s">
        <v>266</v>
      </c>
      <c r="G52" s="1" t="s">
        <v>916</v>
      </c>
      <c r="H52" s="1"/>
      <c r="I52" s="1" t="s">
        <v>55</v>
      </c>
      <c r="J52" s="1"/>
      <c r="K52" s="1"/>
      <c r="L52" s="1" t="s">
        <v>46</v>
      </c>
      <c r="M52" s="1" t="s">
        <v>46</v>
      </c>
      <c r="N52" s="1" t="s">
        <v>46</v>
      </c>
      <c r="O52" s="1" t="s">
        <v>46</v>
      </c>
      <c r="P52" s="1"/>
      <c r="Q52" s="1"/>
      <c r="R52" s="1"/>
    </row>
    <row r="53" spans="1:18" x14ac:dyDescent="0.3">
      <c r="A53" s="1" t="s">
        <v>267</v>
      </c>
      <c r="B53">
        <v>54</v>
      </c>
      <c r="C53" s="1" t="s">
        <v>29</v>
      </c>
      <c r="D53" s="1" t="s">
        <v>875</v>
      </c>
      <c r="E53" s="1" t="s">
        <v>268</v>
      </c>
      <c r="F53" s="1" t="s">
        <v>917</v>
      </c>
      <c r="G53" s="1" t="s">
        <v>876</v>
      </c>
      <c r="H53" s="1" t="s">
        <v>898</v>
      </c>
      <c r="I53" s="1"/>
      <c r="J53" s="1"/>
      <c r="K53" s="1"/>
      <c r="L53" s="1" t="s">
        <v>46</v>
      </c>
      <c r="M53" s="1" t="s">
        <v>46</v>
      </c>
      <c r="N53" s="1" t="s">
        <v>46</v>
      </c>
      <c r="O53" s="1" t="s">
        <v>46</v>
      </c>
      <c r="P53" s="1"/>
      <c r="Q53" s="1"/>
      <c r="R53" s="1"/>
    </row>
    <row r="54" spans="1:18" x14ac:dyDescent="0.3">
      <c r="A54" s="1" t="s">
        <v>272</v>
      </c>
      <c r="B54">
        <v>55</v>
      </c>
      <c r="C54" s="1" t="s">
        <v>29</v>
      </c>
      <c r="D54" s="1" t="s">
        <v>918</v>
      </c>
      <c r="E54" s="1" t="s">
        <v>273</v>
      </c>
      <c r="F54" s="1" t="s">
        <v>274</v>
      </c>
      <c r="G54" s="1" t="s">
        <v>876</v>
      </c>
      <c r="H54" s="1" t="s">
        <v>919</v>
      </c>
      <c r="I54" s="1" t="s">
        <v>35</v>
      </c>
      <c r="J54" s="1"/>
      <c r="K54" s="1"/>
      <c r="L54" s="2">
        <v>45731</v>
      </c>
      <c r="M54" s="1" t="s">
        <v>77</v>
      </c>
      <c r="N54" s="1" t="s">
        <v>71</v>
      </c>
      <c r="O54" s="1"/>
      <c r="P54" s="1"/>
      <c r="Q54" s="1"/>
      <c r="R54" s="1"/>
    </row>
    <row r="55" spans="1:18" x14ac:dyDescent="0.3">
      <c r="A55" s="1" t="s">
        <v>277</v>
      </c>
      <c r="B55">
        <v>56</v>
      </c>
      <c r="C55" s="1" t="s">
        <v>29</v>
      </c>
      <c r="D55" s="1" t="s">
        <v>891</v>
      </c>
      <c r="E55" s="1" t="s">
        <v>278</v>
      </c>
      <c r="F55" s="1" t="s">
        <v>279</v>
      </c>
      <c r="G55" s="1" t="s">
        <v>876</v>
      </c>
      <c r="H55" s="1" t="s">
        <v>920</v>
      </c>
      <c r="I55" s="1" t="s">
        <v>35</v>
      </c>
      <c r="J55" s="1"/>
      <c r="K55" s="1"/>
      <c r="L55" s="1" t="s">
        <v>46</v>
      </c>
      <c r="M55" s="1" t="s">
        <v>46</v>
      </c>
      <c r="N55" s="1" t="s">
        <v>46</v>
      </c>
      <c r="O55" s="1" t="s">
        <v>46</v>
      </c>
      <c r="P55" s="1"/>
      <c r="Q55" s="1"/>
      <c r="R55" s="1"/>
    </row>
    <row r="56" spans="1:18" x14ac:dyDescent="0.3">
      <c r="A56" s="1" t="s">
        <v>281</v>
      </c>
      <c r="B56">
        <v>57</v>
      </c>
      <c r="C56" s="1" t="s">
        <v>81</v>
      </c>
      <c r="D56" s="1" t="s">
        <v>875</v>
      </c>
      <c r="E56" s="1" t="s">
        <v>282</v>
      </c>
      <c r="F56" s="1" t="s">
        <v>283</v>
      </c>
      <c r="G56" s="1" t="s">
        <v>921</v>
      </c>
      <c r="H56" s="1"/>
      <c r="I56" s="1" t="s">
        <v>61</v>
      </c>
      <c r="J56" s="1"/>
      <c r="K56" s="1"/>
      <c r="L56" s="1"/>
      <c r="M56" s="1"/>
      <c r="N56" s="1"/>
      <c r="O56" s="1"/>
      <c r="P56" s="1"/>
      <c r="Q56" s="1"/>
      <c r="R56" s="1"/>
    </row>
    <row r="57" spans="1:18" x14ac:dyDescent="0.3">
      <c r="A57" s="1" t="s">
        <v>285</v>
      </c>
      <c r="B57">
        <v>58</v>
      </c>
      <c r="C57" s="1" t="s">
        <v>81</v>
      </c>
      <c r="D57" s="1" t="s">
        <v>875</v>
      </c>
      <c r="E57" s="1" t="s">
        <v>286</v>
      </c>
      <c r="F57" s="1" t="s">
        <v>287</v>
      </c>
      <c r="G57" s="1" t="s">
        <v>921</v>
      </c>
      <c r="H57" s="1"/>
      <c r="I57" s="1" t="s">
        <v>61</v>
      </c>
      <c r="J57" s="1"/>
      <c r="K57" s="1"/>
      <c r="L57" s="1"/>
      <c r="M57" s="1"/>
      <c r="N57" s="1"/>
      <c r="O57" s="1"/>
      <c r="P57" s="1"/>
      <c r="Q57" s="1"/>
      <c r="R57" s="1"/>
    </row>
    <row r="58" spans="1:18" x14ac:dyDescent="0.3">
      <c r="A58" s="1" t="s">
        <v>288</v>
      </c>
      <c r="B58">
        <v>59</v>
      </c>
      <c r="C58" s="1" t="s">
        <v>81</v>
      </c>
      <c r="D58" s="1" t="s">
        <v>875</v>
      </c>
      <c r="E58" s="1" t="s">
        <v>289</v>
      </c>
      <c r="F58" s="1" t="s">
        <v>290</v>
      </c>
      <c r="G58" s="1" t="s">
        <v>921</v>
      </c>
      <c r="H58" s="1"/>
      <c r="I58" s="1" t="s">
        <v>61</v>
      </c>
      <c r="J58" s="1"/>
      <c r="K58" s="1"/>
      <c r="L58" s="1"/>
      <c r="M58" s="1"/>
      <c r="N58" s="1"/>
      <c r="O58" s="1"/>
      <c r="P58" s="1"/>
      <c r="Q58" s="1"/>
      <c r="R58" s="1"/>
    </row>
    <row r="59" spans="1:18" x14ac:dyDescent="0.3">
      <c r="A59" s="1" t="s">
        <v>291</v>
      </c>
      <c r="B59">
        <v>60</v>
      </c>
      <c r="C59" s="1" t="s">
        <v>81</v>
      </c>
      <c r="D59" s="1" t="s">
        <v>875</v>
      </c>
      <c r="E59" s="1" t="s">
        <v>292</v>
      </c>
      <c r="F59" s="1" t="s">
        <v>293</v>
      </c>
      <c r="G59" s="1" t="s">
        <v>921</v>
      </c>
      <c r="H59" s="1"/>
      <c r="I59" s="1" t="s">
        <v>61</v>
      </c>
      <c r="J59" s="1"/>
      <c r="K59" s="1"/>
      <c r="L59" s="1"/>
      <c r="M59" s="1"/>
      <c r="N59" s="1"/>
      <c r="O59" s="1"/>
      <c r="P59" s="1"/>
      <c r="Q59" s="1"/>
      <c r="R59" s="1"/>
    </row>
    <row r="60" spans="1:18" x14ac:dyDescent="0.3">
      <c r="A60" s="1" t="s">
        <v>294</v>
      </c>
      <c r="B60">
        <v>61</v>
      </c>
      <c r="C60" s="1" t="s">
        <v>81</v>
      </c>
      <c r="D60" s="1" t="s">
        <v>875</v>
      </c>
      <c r="E60" s="1" t="s">
        <v>295</v>
      </c>
      <c r="F60" s="1" t="s">
        <v>296</v>
      </c>
      <c r="G60" s="1" t="s">
        <v>921</v>
      </c>
      <c r="H60" s="1"/>
      <c r="I60" s="1" t="s">
        <v>61</v>
      </c>
      <c r="J60" s="1"/>
      <c r="K60" s="1"/>
      <c r="L60" s="1"/>
      <c r="M60" s="1"/>
      <c r="N60" s="1"/>
      <c r="O60" s="1"/>
      <c r="P60" s="1"/>
      <c r="Q60" s="1"/>
      <c r="R60" s="1"/>
    </row>
    <row r="61" spans="1:18" x14ac:dyDescent="0.3">
      <c r="A61" s="1" t="s">
        <v>297</v>
      </c>
      <c r="B61">
        <v>62</v>
      </c>
      <c r="C61" s="1" t="s">
        <v>81</v>
      </c>
      <c r="D61" s="1" t="s">
        <v>875</v>
      </c>
      <c r="E61" s="1" t="s">
        <v>298</v>
      </c>
      <c r="F61" s="1" t="s">
        <v>299</v>
      </c>
      <c r="G61" s="1" t="s">
        <v>921</v>
      </c>
      <c r="H61" s="1"/>
      <c r="I61" s="1" t="s">
        <v>61</v>
      </c>
      <c r="J61" s="1"/>
      <c r="K61" s="1"/>
      <c r="L61" s="1"/>
      <c r="M61" s="1"/>
      <c r="N61" s="1"/>
      <c r="O61" s="1"/>
      <c r="P61" s="1"/>
      <c r="Q61" s="1"/>
      <c r="R61" s="1"/>
    </row>
    <row r="62" spans="1:18" x14ac:dyDescent="0.3">
      <c r="A62" s="1" t="s">
        <v>300</v>
      </c>
      <c r="B62">
        <v>63</v>
      </c>
      <c r="C62" s="1" t="s">
        <v>120</v>
      </c>
      <c r="D62" s="1" t="s">
        <v>907</v>
      </c>
      <c r="E62" s="1" t="s">
        <v>301</v>
      </c>
      <c r="F62" s="1" t="s">
        <v>302</v>
      </c>
      <c r="G62" s="1" t="s">
        <v>922</v>
      </c>
      <c r="H62" s="1" t="s">
        <v>303</v>
      </c>
      <c r="I62" s="1" t="s">
        <v>61</v>
      </c>
      <c r="J62" s="1"/>
      <c r="K62" s="1"/>
      <c r="L62" s="1"/>
      <c r="M62" s="1"/>
      <c r="N62" s="1"/>
      <c r="O62" s="1"/>
      <c r="P62" s="1"/>
      <c r="Q62" s="1"/>
      <c r="R62" s="1"/>
    </row>
    <row r="63" spans="1:18" x14ac:dyDescent="0.3">
      <c r="A63" s="1" t="s">
        <v>304</v>
      </c>
      <c r="B63">
        <v>64</v>
      </c>
      <c r="C63" s="1" t="s">
        <v>29</v>
      </c>
      <c r="D63" s="1" t="s">
        <v>907</v>
      </c>
      <c r="E63" s="1" t="s">
        <v>305</v>
      </c>
      <c r="F63" s="1" t="s">
        <v>306</v>
      </c>
      <c r="G63" s="1" t="s">
        <v>876</v>
      </c>
      <c r="H63" s="1" t="s">
        <v>920</v>
      </c>
      <c r="I63" s="1" t="s">
        <v>35</v>
      </c>
      <c r="J63" s="1"/>
      <c r="K63" s="1"/>
      <c r="L63" s="1" t="s">
        <v>46</v>
      </c>
      <c r="M63" s="1" t="s">
        <v>46</v>
      </c>
      <c r="N63" s="1" t="s">
        <v>46</v>
      </c>
      <c r="O63" s="1" t="s">
        <v>46</v>
      </c>
      <c r="P63" s="1"/>
      <c r="Q63" s="1"/>
      <c r="R63" s="1"/>
    </row>
    <row r="64" spans="1:18" x14ac:dyDescent="0.3">
      <c r="A64" s="1" t="s">
        <v>307</v>
      </c>
      <c r="B64">
        <v>65</v>
      </c>
      <c r="C64" s="1" t="s">
        <v>29</v>
      </c>
      <c r="D64" s="1" t="s">
        <v>891</v>
      </c>
      <c r="E64" s="1" t="s">
        <v>308</v>
      </c>
      <c r="F64" s="1" t="s">
        <v>309</v>
      </c>
      <c r="G64" s="1" t="s">
        <v>887</v>
      </c>
      <c r="H64" s="1"/>
      <c r="I64" s="1" t="s">
        <v>35</v>
      </c>
      <c r="J64" s="1"/>
      <c r="K64" s="1"/>
      <c r="L64" s="2">
        <v>43039</v>
      </c>
      <c r="M64" s="1" t="s">
        <v>77</v>
      </c>
      <c r="N64" s="1" t="s">
        <v>310</v>
      </c>
      <c r="O64" s="2">
        <v>42675</v>
      </c>
      <c r="P64" s="1"/>
      <c r="Q64" s="1"/>
      <c r="R64" s="1"/>
    </row>
    <row r="65" spans="1:18" ht="43.2" x14ac:dyDescent="0.3">
      <c r="A65" s="1" t="s">
        <v>311</v>
      </c>
      <c r="B65">
        <v>66</v>
      </c>
      <c r="C65" s="1" t="s">
        <v>29</v>
      </c>
      <c r="D65" s="1" t="s">
        <v>891</v>
      </c>
      <c r="E65" s="1" t="s">
        <v>312</v>
      </c>
      <c r="F65" s="1" t="s">
        <v>313</v>
      </c>
      <c r="G65" s="1" t="s">
        <v>887</v>
      </c>
      <c r="H65" s="1" t="s">
        <v>314</v>
      </c>
      <c r="I65" s="1" t="s">
        <v>55</v>
      </c>
      <c r="J65" s="1"/>
      <c r="K65" s="1"/>
      <c r="L65" s="3" t="s">
        <v>923</v>
      </c>
      <c r="M65" s="1" t="s">
        <v>77</v>
      </c>
      <c r="N65" s="1" t="s">
        <v>56</v>
      </c>
      <c r="O65" s="2">
        <v>40544</v>
      </c>
      <c r="P65" s="1"/>
      <c r="Q65" s="1"/>
      <c r="R65" s="1"/>
    </row>
    <row r="66" spans="1:18" x14ac:dyDescent="0.3">
      <c r="A66" s="1" t="s">
        <v>316</v>
      </c>
      <c r="B66">
        <v>67</v>
      </c>
      <c r="C66" s="1" t="s">
        <v>65</v>
      </c>
      <c r="D66" s="1" t="s">
        <v>875</v>
      </c>
      <c r="E66" s="1" t="s">
        <v>317</v>
      </c>
      <c r="F66" s="1" t="s">
        <v>318</v>
      </c>
      <c r="G66" s="1" t="s">
        <v>892</v>
      </c>
      <c r="H66" s="1" t="s">
        <v>893</v>
      </c>
      <c r="I66" s="1" t="s">
        <v>55</v>
      </c>
      <c r="J66" s="1"/>
      <c r="K66" s="1"/>
      <c r="L66" s="2">
        <v>46904</v>
      </c>
      <c r="M66" s="1" t="s">
        <v>193</v>
      </c>
      <c r="N66" s="1" t="s">
        <v>56</v>
      </c>
      <c r="O66" s="2">
        <v>45809</v>
      </c>
      <c r="P66" s="1"/>
      <c r="Q66" s="1"/>
      <c r="R66" s="1"/>
    </row>
    <row r="67" spans="1:18" x14ac:dyDescent="0.3">
      <c r="A67" s="1" t="s">
        <v>319</v>
      </c>
      <c r="B67">
        <v>68</v>
      </c>
      <c r="C67" s="1" t="s">
        <v>29</v>
      </c>
      <c r="D67" s="1" t="s">
        <v>918</v>
      </c>
      <c r="E67" s="1" t="s">
        <v>924</v>
      </c>
      <c r="F67" s="1" t="s">
        <v>321</v>
      </c>
      <c r="G67" s="1" t="s">
        <v>876</v>
      </c>
      <c r="H67" s="1" t="s">
        <v>898</v>
      </c>
      <c r="I67" s="1" t="s">
        <v>35</v>
      </c>
      <c r="J67" s="1"/>
      <c r="K67" s="1"/>
      <c r="L67" s="2">
        <v>45991</v>
      </c>
      <c r="M67" s="1" t="s">
        <v>100</v>
      </c>
      <c r="N67" s="1" t="s">
        <v>56</v>
      </c>
      <c r="O67" s="2">
        <v>45627</v>
      </c>
      <c r="P67" s="1"/>
      <c r="Q67" s="1"/>
      <c r="R67" s="1"/>
    </row>
    <row r="68" spans="1:18" x14ac:dyDescent="0.3">
      <c r="A68" s="1" t="s">
        <v>323</v>
      </c>
      <c r="B68">
        <v>69</v>
      </c>
      <c r="C68" s="1" t="s">
        <v>120</v>
      </c>
      <c r="D68" s="1" t="s">
        <v>875</v>
      </c>
      <c r="E68" s="1" t="s">
        <v>324</v>
      </c>
      <c r="F68" s="1" t="s">
        <v>325</v>
      </c>
      <c r="G68" s="1" t="s">
        <v>922</v>
      </c>
      <c r="H68" s="1" t="s">
        <v>303</v>
      </c>
      <c r="I68" s="1" t="s">
        <v>61</v>
      </c>
      <c r="J68" s="1"/>
      <c r="K68" s="1"/>
      <c r="L68" s="1"/>
      <c r="M68" s="1"/>
      <c r="N68" s="1"/>
      <c r="O68" s="1"/>
      <c r="P68" s="1"/>
      <c r="Q68" s="1"/>
      <c r="R68" s="1"/>
    </row>
    <row r="69" spans="1:18" x14ac:dyDescent="0.3">
      <c r="A69" s="1" t="s">
        <v>326</v>
      </c>
      <c r="B69">
        <v>70</v>
      </c>
      <c r="C69" s="1" t="s">
        <v>65</v>
      </c>
      <c r="D69" s="1" t="s">
        <v>875</v>
      </c>
      <c r="E69" s="1" t="s">
        <v>327</v>
      </c>
      <c r="F69" s="1" t="s">
        <v>328</v>
      </c>
      <c r="G69" s="1" t="s">
        <v>892</v>
      </c>
      <c r="H69" s="1" t="s">
        <v>925</v>
      </c>
      <c r="I69" s="1" t="s">
        <v>61</v>
      </c>
      <c r="J69" s="1"/>
      <c r="K69" s="1"/>
      <c r="L69" s="1"/>
      <c r="M69" s="1"/>
      <c r="N69" s="1"/>
      <c r="O69" s="1"/>
      <c r="P69" s="1"/>
      <c r="Q69" s="1"/>
      <c r="R69" s="1"/>
    </row>
    <row r="70" spans="1:18" x14ac:dyDescent="0.3">
      <c r="A70" s="1" t="s">
        <v>330</v>
      </c>
      <c r="B70">
        <v>71</v>
      </c>
      <c r="C70" s="1" t="s">
        <v>103</v>
      </c>
      <c r="D70" s="1" t="s">
        <v>907</v>
      </c>
      <c r="E70" s="1" t="s">
        <v>331</v>
      </c>
      <c r="F70" s="1" t="s">
        <v>332</v>
      </c>
      <c r="G70" s="1" t="s">
        <v>107</v>
      </c>
      <c r="H70" s="1"/>
      <c r="I70" s="1" t="s">
        <v>55</v>
      </c>
      <c r="J70" s="1"/>
      <c r="K70" s="1"/>
      <c r="L70" s="1" t="s">
        <v>46</v>
      </c>
      <c r="M70" s="1" t="s">
        <v>46</v>
      </c>
      <c r="N70" s="1" t="s">
        <v>46</v>
      </c>
      <c r="O70" s="1" t="s">
        <v>46</v>
      </c>
      <c r="P70" s="1"/>
      <c r="Q70" s="1"/>
      <c r="R70" s="1"/>
    </row>
    <row r="71" spans="1:18" x14ac:dyDescent="0.3">
      <c r="A71" s="1" t="s">
        <v>333</v>
      </c>
      <c r="B71">
        <v>72</v>
      </c>
      <c r="C71" s="1" t="s">
        <v>81</v>
      </c>
      <c r="D71" s="1" t="s">
        <v>875</v>
      </c>
      <c r="E71" s="1" t="s">
        <v>334</v>
      </c>
      <c r="F71" s="1" t="s">
        <v>335</v>
      </c>
      <c r="G71" s="1" t="s">
        <v>921</v>
      </c>
      <c r="H71" s="1"/>
      <c r="I71" s="1" t="s">
        <v>61</v>
      </c>
      <c r="J71" s="1"/>
      <c r="K71" s="1"/>
      <c r="L71" s="1"/>
      <c r="M71" s="1"/>
      <c r="N71" s="1"/>
      <c r="O71" s="1"/>
      <c r="P71" s="1"/>
      <c r="Q71" s="1"/>
      <c r="R71" s="1"/>
    </row>
    <row r="72" spans="1:18" x14ac:dyDescent="0.3">
      <c r="A72" s="1" t="s">
        <v>336</v>
      </c>
      <c r="B72">
        <v>73</v>
      </c>
      <c r="C72" s="1" t="s">
        <v>81</v>
      </c>
      <c r="D72" s="1" t="s">
        <v>875</v>
      </c>
      <c r="E72" s="1" t="s">
        <v>337</v>
      </c>
      <c r="F72" s="1" t="s">
        <v>338</v>
      </c>
      <c r="G72" s="1" t="s">
        <v>339</v>
      </c>
      <c r="H72" s="1"/>
      <c r="I72" s="1" t="s">
        <v>61</v>
      </c>
      <c r="J72" s="1"/>
      <c r="K72" s="1"/>
      <c r="L72" s="1"/>
      <c r="M72" s="1"/>
      <c r="N72" s="1"/>
      <c r="O72" s="1"/>
      <c r="P72" s="1"/>
      <c r="Q72" s="1"/>
      <c r="R72" s="1"/>
    </row>
    <row r="73" spans="1:18" x14ac:dyDescent="0.3">
      <c r="A73" s="1" t="s">
        <v>340</v>
      </c>
      <c r="B73">
        <v>74</v>
      </c>
      <c r="C73" s="1" t="s">
        <v>65</v>
      </c>
      <c r="D73" s="1" t="s">
        <v>926</v>
      </c>
      <c r="E73" s="1" t="s">
        <v>341</v>
      </c>
      <c r="F73" s="1" t="s">
        <v>342</v>
      </c>
      <c r="G73" s="1" t="s">
        <v>882</v>
      </c>
      <c r="H73" s="1" t="s">
        <v>883</v>
      </c>
      <c r="I73" s="1" t="s">
        <v>55</v>
      </c>
      <c r="J73" s="1"/>
      <c r="K73" s="1"/>
      <c r="L73" s="2">
        <v>44177</v>
      </c>
      <c r="M73" s="1" t="s">
        <v>77</v>
      </c>
      <c r="N73" s="1" t="s">
        <v>56</v>
      </c>
      <c r="O73" s="2">
        <v>43087</v>
      </c>
      <c r="P73" s="1"/>
      <c r="Q73" s="1"/>
      <c r="R73" s="1"/>
    </row>
    <row r="74" spans="1:18" x14ac:dyDescent="0.3">
      <c r="A74" s="1" t="s">
        <v>344</v>
      </c>
      <c r="B74">
        <v>75</v>
      </c>
      <c r="C74" s="1" t="s">
        <v>50</v>
      </c>
      <c r="D74" s="1" t="s">
        <v>875</v>
      </c>
      <c r="E74" s="1" t="s">
        <v>345</v>
      </c>
      <c r="F74" s="1" t="s">
        <v>346</v>
      </c>
      <c r="G74" s="1" t="s">
        <v>927</v>
      </c>
      <c r="H74" s="1" t="s">
        <v>897</v>
      </c>
      <c r="I74" s="1" t="s">
        <v>61</v>
      </c>
      <c r="J74" s="1"/>
      <c r="K74" s="1"/>
      <c r="L74" s="1"/>
      <c r="M74" s="1"/>
      <c r="N74" s="1"/>
      <c r="O74" s="1"/>
      <c r="P74" s="1"/>
      <c r="Q74" s="1"/>
      <c r="R74" s="1"/>
    </row>
    <row r="75" spans="1:18" x14ac:dyDescent="0.3">
      <c r="A75" s="1" t="s">
        <v>348</v>
      </c>
      <c r="B75">
        <v>76</v>
      </c>
      <c r="C75" s="1" t="s">
        <v>65</v>
      </c>
      <c r="D75" s="1" t="s">
        <v>104</v>
      </c>
      <c r="E75" s="1" t="s">
        <v>349</v>
      </c>
      <c r="F75" s="1" t="s">
        <v>350</v>
      </c>
      <c r="G75" s="1" t="s">
        <v>882</v>
      </c>
      <c r="H75" s="1" t="s">
        <v>883</v>
      </c>
      <c r="I75" s="1" t="s">
        <v>55</v>
      </c>
      <c r="J75" s="1"/>
      <c r="K75" s="1"/>
      <c r="L75" s="1" t="s">
        <v>78</v>
      </c>
      <c r="M75" s="1" t="s">
        <v>77</v>
      </c>
      <c r="N75" s="1" t="s">
        <v>56</v>
      </c>
      <c r="O75" s="2">
        <v>44543</v>
      </c>
      <c r="P75" s="1"/>
      <c r="Q75" s="1"/>
      <c r="R75" s="1"/>
    </row>
    <row r="76" spans="1:18" x14ac:dyDescent="0.3">
      <c r="A76" s="1" t="s">
        <v>351</v>
      </c>
      <c r="B76">
        <v>77</v>
      </c>
      <c r="C76" s="1" t="s">
        <v>65</v>
      </c>
      <c r="D76" s="1" t="s">
        <v>104</v>
      </c>
      <c r="E76" s="1" t="s">
        <v>352</v>
      </c>
      <c r="F76" s="1" t="s">
        <v>353</v>
      </c>
      <c r="G76" s="1" t="s">
        <v>882</v>
      </c>
      <c r="H76" s="1" t="s">
        <v>883</v>
      </c>
      <c r="I76" s="1" t="s">
        <v>55</v>
      </c>
      <c r="J76" s="1"/>
      <c r="K76" s="1"/>
      <c r="L76" s="1" t="s">
        <v>78</v>
      </c>
      <c r="M76" s="1" t="s">
        <v>77</v>
      </c>
      <c r="N76" s="1" t="s">
        <v>310</v>
      </c>
      <c r="O76" s="1" t="s">
        <v>37</v>
      </c>
      <c r="P76" s="1"/>
      <c r="Q76" s="1"/>
      <c r="R76" s="1"/>
    </row>
    <row r="77" spans="1:18" ht="43.2" x14ac:dyDescent="0.3">
      <c r="A77" s="1" t="s">
        <v>354</v>
      </c>
      <c r="B77">
        <v>78</v>
      </c>
      <c r="C77" s="1" t="s">
        <v>81</v>
      </c>
      <c r="D77" s="1" t="s">
        <v>875</v>
      </c>
      <c r="E77" s="1" t="s">
        <v>355</v>
      </c>
      <c r="F77" s="1" t="s">
        <v>356</v>
      </c>
      <c r="G77" s="1" t="s">
        <v>210</v>
      </c>
      <c r="H77" s="1" t="s">
        <v>928</v>
      </c>
      <c r="I77" s="1" t="s">
        <v>55</v>
      </c>
      <c r="J77" s="1"/>
      <c r="K77" s="1"/>
      <c r="L77" s="3" t="s">
        <v>929</v>
      </c>
      <c r="M77" s="1" t="s">
        <v>77</v>
      </c>
      <c r="N77" s="1" t="s">
        <v>71</v>
      </c>
      <c r="O77" s="2">
        <v>45849</v>
      </c>
      <c r="P77" s="1"/>
      <c r="Q77" s="1"/>
      <c r="R77" s="1"/>
    </row>
    <row r="78" spans="1:18" x14ac:dyDescent="0.3">
      <c r="A78" s="1" t="s">
        <v>358</v>
      </c>
      <c r="B78">
        <v>79</v>
      </c>
      <c r="C78" s="1" t="s">
        <v>81</v>
      </c>
      <c r="D78" s="1" t="s">
        <v>875</v>
      </c>
      <c r="E78" s="1" t="s">
        <v>359</v>
      </c>
      <c r="F78" s="1" t="s">
        <v>360</v>
      </c>
      <c r="G78" s="1" t="s">
        <v>921</v>
      </c>
      <c r="H78" s="1" t="s">
        <v>361</v>
      </c>
      <c r="I78" s="1" t="s">
        <v>55</v>
      </c>
      <c r="J78" s="1"/>
      <c r="K78" s="1"/>
      <c r="L78" s="2">
        <v>46022</v>
      </c>
      <c r="M78" s="1" t="s">
        <v>212</v>
      </c>
      <c r="N78" s="1" t="s">
        <v>212</v>
      </c>
      <c r="O78" s="2">
        <v>45839</v>
      </c>
      <c r="P78" s="1"/>
      <c r="Q78" s="1"/>
      <c r="R78" s="1"/>
    </row>
    <row r="79" spans="1:18" x14ac:dyDescent="0.3">
      <c r="A79" s="1" t="s">
        <v>362</v>
      </c>
      <c r="B79">
        <v>80</v>
      </c>
      <c r="C79" s="1" t="s">
        <v>65</v>
      </c>
      <c r="D79" s="1" t="s">
        <v>891</v>
      </c>
      <c r="E79" s="1" t="s">
        <v>363</v>
      </c>
      <c r="F79" s="1" t="s">
        <v>364</v>
      </c>
      <c r="G79" s="1" t="s">
        <v>892</v>
      </c>
      <c r="H79" s="1" t="s">
        <v>893</v>
      </c>
      <c r="I79" s="1" t="s">
        <v>55</v>
      </c>
      <c r="J79" s="1"/>
      <c r="K79" s="1"/>
      <c r="L79" s="2">
        <v>45292</v>
      </c>
      <c r="M79" s="1" t="s">
        <v>365</v>
      </c>
      <c r="N79" s="1" t="s">
        <v>212</v>
      </c>
      <c r="O79" s="2">
        <v>43466</v>
      </c>
      <c r="P79" s="1"/>
      <c r="Q79" s="1"/>
      <c r="R79" s="1"/>
    </row>
    <row r="80" spans="1:18" x14ac:dyDescent="0.3">
      <c r="A80" s="1" t="s">
        <v>366</v>
      </c>
      <c r="B80">
        <v>81</v>
      </c>
      <c r="C80" s="1" t="s">
        <v>65</v>
      </c>
      <c r="D80" s="1" t="s">
        <v>891</v>
      </c>
      <c r="E80" s="1" t="s">
        <v>367</v>
      </c>
      <c r="F80" s="1" t="s">
        <v>368</v>
      </c>
      <c r="G80" s="1" t="s">
        <v>892</v>
      </c>
      <c r="H80" s="1" t="s">
        <v>893</v>
      </c>
      <c r="I80" s="1" t="s">
        <v>55</v>
      </c>
      <c r="J80" s="1"/>
      <c r="K80" s="1" t="s">
        <v>369</v>
      </c>
      <c r="L80" s="1" t="s">
        <v>78</v>
      </c>
      <c r="M80" s="1" t="s">
        <v>77</v>
      </c>
      <c r="N80" s="1" t="s">
        <v>71</v>
      </c>
      <c r="O80" s="2">
        <v>44621</v>
      </c>
      <c r="P80" s="1"/>
      <c r="Q80" s="1"/>
      <c r="R80" s="1"/>
    </row>
    <row r="81" spans="1:18" x14ac:dyDescent="0.3">
      <c r="A81" s="1" t="s">
        <v>370</v>
      </c>
      <c r="B81">
        <v>82</v>
      </c>
      <c r="C81" s="1" t="s">
        <v>29</v>
      </c>
      <c r="D81" s="1" t="s">
        <v>891</v>
      </c>
      <c r="E81" s="1" t="s">
        <v>371</v>
      </c>
      <c r="F81" s="1" t="s">
        <v>372</v>
      </c>
      <c r="G81" s="1" t="s">
        <v>881</v>
      </c>
      <c r="H81" s="1"/>
      <c r="I81" s="1" t="s">
        <v>55</v>
      </c>
      <c r="J81" s="1"/>
      <c r="K81" s="1"/>
      <c r="L81" s="1" t="s">
        <v>37</v>
      </c>
      <c r="M81" s="1" t="s">
        <v>77</v>
      </c>
      <c r="N81" s="1"/>
      <c r="O81" s="2">
        <v>45292</v>
      </c>
      <c r="P81" s="1"/>
      <c r="Q81" s="1"/>
      <c r="R81" s="1"/>
    </row>
    <row r="82" spans="1:18" x14ac:dyDescent="0.3">
      <c r="A82" s="1" t="s">
        <v>373</v>
      </c>
      <c r="B82">
        <v>83</v>
      </c>
      <c r="C82" s="1" t="s">
        <v>50</v>
      </c>
      <c r="D82" s="1" t="s">
        <v>875</v>
      </c>
      <c r="E82" s="1" t="s">
        <v>374</v>
      </c>
      <c r="F82" s="1" t="s">
        <v>375</v>
      </c>
      <c r="G82" s="1" t="s">
        <v>889</v>
      </c>
      <c r="H82" s="1" t="s">
        <v>890</v>
      </c>
      <c r="I82" s="1" t="s">
        <v>55</v>
      </c>
      <c r="J82" s="1"/>
      <c r="K82" s="1"/>
      <c r="L82" s="1"/>
      <c r="M82" s="1"/>
      <c r="N82" s="1"/>
      <c r="O82" s="1"/>
      <c r="P82" s="1"/>
      <c r="Q82" s="1"/>
      <c r="R82" s="1"/>
    </row>
    <row r="83" spans="1:18" x14ac:dyDescent="0.3">
      <c r="A83" s="1" t="s">
        <v>376</v>
      </c>
      <c r="B83">
        <v>84</v>
      </c>
      <c r="C83" s="1" t="s">
        <v>50</v>
      </c>
      <c r="D83" s="1" t="s">
        <v>875</v>
      </c>
      <c r="E83" s="1" t="s">
        <v>377</v>
      </c>
      <c r="F83" s="1" t="s">
        <v>378</v>
      </c>
      <c r="G83" s="1" t="s">
        <v>879</v>
      </c>
      <c r="H83" s="1" t="s">
        <v>930</v>
      </c>
      <c r="I83" s="1" t="s">
        <v>55</v>
      </c>
      <c r="J83" s="1"/>
      <c r="K83" s="1"/>
      <c r="L83" s="2">
        <v>47236</v>
      </c>
      <c r="M83" s="1" t="s">
        <v>193</v>
      </c>
      <c r="N83" s="1" t="s">
        <v>310</v>
      </c>
      <c r="O83" s="2">
        <v>45411</v>
      </c>
      <c r="P83" s="1"/>
      <c r="Q83" s="1"/>
      <c r="R83" s="1"/>
    </row>
    <row r="84" spans="1:18" x14ac:dyDescent="0.3">
      <c r="A84" s="1" t="s">
        <v>380</v>
      </c>
      <c r="B84">
        <v>85</v>
      </c>
      <c r="C84" s="1" t="s">
        <v>50</v>
      </c>
      <c r="D84" s="1" t="s">
        <v>875</v>
      </c>
      <c r="E84" s="1" t="s">
        <v>381</v>
      </c>
      <c r="F84" s="1" t="s">
        <v>382</v>
      </c>
      <c r="G84" s="1" t="s">
        <v>879</v>
      </c>
      <c r="H84" s="1" t="s">
        <v>880</v>
      </c>
      <c r="I84" s="1" t="s">
        <v>55</v>
      </c>
      <c r="J84" s="1"/>
      <c r="K84" s="1"/>
      <c r="L84" s="2">
        <v>47236</v>
      </c>
      <c r="M84" s="1" t="s">
        <v>193</v>
      </c>
      <c r="N84" s="1" t="s">
        <v>56</v>
      </c>
      <c r="O84" s="2">
        <v>45411</v>
      </c>
      <c r="P84" s="1"/>
      <c r="Q84" s="1"/>
      <c r="R84" s="1"/>
    </row>
    <row r="85" spans="1:18" x14ac:dyDescent="0.3">
      <c r="A85" s="1" t="s">
        <v>383</v>
      </c>
      <c r="B85">
        <v>86</v>
      </c>
      <c r="C85" s="1" t="s">
        <v>50</v>
      </c>
      <c r="D85" s="1" t="s">
        <v>875</v>
      </c>
      <c r="E85" s="1" t="s">
        <v>384</v>
      </c>
      <c r="F85" s="1" t="s">
        <v>385</v>
      </c>
      <c r="G85" s="1" t="s">
        <v>879</v>
      </c>
      <c r="H85" s="1" t="s">
        <v>897</v>
      </c>
      <c r="I85" s="1" t="s">
        <v>61</v>
      </c>
      <c r="J85" s="1"/>
      <c r="K85" s="1"/>
      <c r="L85" s="1"/>
      <c r="M85" s="1"/>
      <c r="N85" s="1"/>
      <c r="O85" s="1"/>
      <c r="P85" s="1"/>
      <c r="Q85" s="1"/>
      <c r="R85" s="1"/>
    </row>
    <row r="86" spans="1:18" x14ac:dyDescent="0.3">
      <c r="A86" s="1" t="s">
        <v>386</v>
      </c>
      <c r="B86">
        <v>87</v>
      </c>
      <c r="C86" s="1" t="s">
        <v>120</v>
      </c>
      <c r="D86" s="1" t="s">
        <v>875</v>
      </c>
      <c r="E86" s="1" t="s">
        <v>387</v>
      </c>
      <c r="F86" s="1" t="s">
        <v>388</v>
      </c>
      <c r="G86" s="1" t="s">
        <v>922</v>
      </c>
      <c r="H86" s="1" t="s">
        <v>389</v>
      </c>
      <c r="I86" s="1" t="s">
        <v>55</v>
      </c>
      <c r="J86" s="1"/>
      <c r="K86" s="1"/>
      <c r="L86" s="1" t="s">
        <v>390</v>
      </c>
      <c r="M86" s="1" t="s">
        <v>390</v>
      </c>
      <c r="N86" s="1" t="s">
        <v>390</v>
      </c>
      <c r="O86" s="1" t="s">
        <v>390</v>
      </c>
      <c r="P86" s="1"/>
      <c r="Q86" s="1"/>
      <c r="R86" s="1"/>
    </row>
    <row r="87" spans="1:18" x14ac:dyDescent="0.3">
      <c r="A87" s="1" t="s">
        <v>392</v>
      </c>
      <c r="B87">
        <v>88</v>
      </c>
      <c r="C87" s="1" t="s">
        <v>81</v>
      </c>
      <c r="D87" s="1" t="s">
        <v>875</v>
      </c>
      <c r="E87" s="1" t="s">
        <v>393</v>
      </c>
      <c r="F87" s="1" t="s">
        <v>394</v>
      </c>
      <c r="G87" s="1" t="s">
        <v>210</v>
      </c>
      <c r="H87" s="1" t="s">
        <v>211</v>
      </c>
      <c r="I87" s="1" t="s">
        <v>55</v>
      </c>
      <c r="J87" s="1"/>
      <c r="K87" s="1"/>
      <c r="L87" s="2">
        <v>45589</v>
      </c>
      <c r="M87" s="1" t="s">
        <v>77</v>
      </c>
      <c r="N87" s="1" t="s">
        <v>310</v>
      </c>
      <c r="O87" s="2">
        <v>45589</v>
      </c>
      <c r="P87" s="1"/>
      <c r="Q87" s="1"/>
      <c r="R87" s="1"/>
    </row>
    <row r="88" spans="1:18" x14ac:dyDescent="0.3">
      <c r="A88" s="1" t="s">
        <v>395</v>
      </c>
      <c r="B88">
        <v>89</v>
      </c>
      <c r="C88" s="1" t="s">
        <v>65</v>
      </c>
      <c r="D88" s="1" t="s">
        <v>931</v>
      </c>
      <c r="E88" s="1" t="s">
        <v>396</v>
      </c>
      <c r="F88" s="1" t="s">
        <v>397</v>
      </c>
      <c r="G88" s="1" t="s">
        <v>882</v>
      </c>
      <c r="H88" s="1" t="s">
        <v>883</v>
      </c>
      <c r="I88" s="1" t="s">
        <v>55</v>
      </c>
      <c r="J88" s="1"/>
      <c r="K88" s="1"/>
      <c r="L88" s="2">
        <v>45312</v>
      </c>
      <c r="M88" s="1" t="s">
        <v>193</v>
      </c>
      <c r="N88" s="1" t="s">
        <v>212</v>
      </c>
      <c r="O88" s="2">
        <v>44958</v>
      </c>
      <c r="P88" s="1"/>
      <c r="Q88" s="1"/>
      <c r="R88" s="1"/>
    </row>
    <row r="89" spans="1:18" x14ac:dyDescent="0.3">
      <c r="A89" s="1" t="s">
        <v>398</v>
      </c>
      <c r="B89">
        <v>90</v>
      </c>
      <c r="C89" s="1" t="s">
        <v>29</v>
      </c>
      <c r="D89" s="1" t="s">
        <v>875</v>
      </c>
      <c r="E89" s="1" t="s">
        <v>399</v>
      </c>
      <c r="F89" s="1" t="s">
        <v>400</v>
      </c>
      <c r="G89" s="1" t="s">
        <v>876</v>
      </c>
      <c r="H89" s="1" t="s">
        <v>898</v>
      </c>
      <c r="I89" s="1" t="s">
        <v>55</v>
      </c>
      <c r="J89" s="1"/>
      <c r="K89" s="1"/>
      <c r="L89" s="1" t="s">
        <v>46</v>
      </c>
      <c r="M89" s="1" t="s">
        <v>46</v>
      </c>
      <c r="N89" s="1" t="s">
        <v>46</v>
      </c>
      <c r="O89" s="1" t="s">
        <v>46</v>
      </c>
      <c r="P89" s="1"/>
      <c r="Q89" s="1"/>
      <c r="R89" s="1"/>
    </row>
    <row r="90" spans="1:18" x14ac:dyDescent="0.3">
      <c r="A90" s="1" t="s">
        <v>402</v>
      </c>
      <c r="B90">
        <v>91</v>
      </c>
      <c r="C90" s="1" t="s">
        <v>50</v>
      </c>
      <c r="D90" s="1" t="s">
        <v>875</v>
      </c>
      <c r="E90" s="1" t="s">
        <v>932</v>
      </c>
      <c r="F90" s="1" t="s">
        <v>933</v>
      </c>
      <c r="G90" s="1" t="s">
        <v>934</v>
      </c>
      <c r="H90" s="1" t="s">
        <v>935</v>
      </c>
      <c r="I90" s="1" t="s">
        <v>912</v>
      </c>
      <c r="J90" s="1"/>
      <c r="K90" s="1"/>
      <c r="L90" s="1"/>
      <c r="M90" s="1"/>
      <c r="N90" s="1"/>
      <c r="O90" s="1"/>
      <c r="P90" s="1"/>
      <c r="Q90" s="1"/>
      <c r="R90" s="1"/>
    </row>
    <row r="91" spans="1:18" x14ac:dyDescent="0.3">
      <c r="A91" s="1" t="s">
        <v>407</v>
      </c>
      <c r="B91">
        <v>92</v>
      </c>
      <c r="C91" s="1" t="s">
        <v>50</v>
      </c>
      <c r="D91" s="1" t="s">
        <v>875</v>
      </c>
      <c r="E91" s="1" t="s">
        <v>408</v>
      </c>
      <c r="F91" s="1" t="s">
        <v>409</v>
      </c>
      <c r="G91" s="1" t="s">
        <v>879</v>
      </c>
      <c r="H91" s="1" t="s">
        <v>897</v>
      </c>
      <c r="I91" s="1" t="s">
        <v>55</v>
      </c>
      <c r="J91" s="1"/>
      <c r="K91" s="1"/>
      <c r="L91" s="1" t="s">
        <v>78</v>
      </c>
      <c r="M91" s="1" t="s">
        <v>77</v>
      </c>
      <c r="N91" s="1" t="s">
        <v>56</v>
      </c>
      <c r="O91" s="2">
        <v>42996</v>
      </c>
      <c r="P91" s="1"/>
      <c r="Q91" s="1"/>
      <c r="R91" s="1"/>
    </row>
    <row r="92" spans="1:18" x14ac:dyDescent="0.3">
      <c r="A92" s="1" t="s">
        <v>410</v>
      </c>
      <c r="B92">
        <v>93</v>
      </c>
      <c r="C92" s="1" t="s">
        <v>65</v>
      </c>
      <c r="D92" s="1" t="s">
        <v>907</v>
      </c>
      <c r="E92" s="1" t="s">
        <v>411</v>
      </c>
      <c r="F92" s="1" t="s">
        <v>412</v>
      </c>
      <c r="G92" s="1" t="s">
        <v>882</v>
      </c>
      <c r="H92" s="1" t="s">
        <v>936</v>
      </c>
      <c r="I92" s="1" t="s">
        <v>55</v>
      </c>
      <c r="J92" s="1"/>
      <c r="K92" s="1"/>
      <c r="L92" s="1" t="s">
        <v>78</v>
      </c>
      <c r="M92" s="1" t="s">
        <v>100</v>
      </c>
      <c r="N92" s="1" t="s">
        <v>56</v>
      </c>
      <c r="O92" s="2">
        <v>42948</v>
      </c>
      <c r="P92" s="1"/>
      <c r="Q92" s="1"/>
      <c r="R92" s="1"/>
    </row>
    <row r="93" spans="1:18" x14ac:dyDescent="0.3">
      <c r="A93" s="1" t="s">
        <v>414</v>
      </c>
      <c r="B93">
        <v>94</v>
      </c>
      <c r="C93" s="1" t="s">
        <v>65</v>
      </c>
      <c r="D93" s="1" t="s">
        <v>907</v>
      </c>
      <c r="E93" s="1" t="s">
        <v>415</v>
      </c>
      <c r="F93" s="1" t="s">
        <v>416</v>
      </c>
      <c r="G93" s="1" t="s">
        <v>901</v>
      </c>
      <c r="H93" s="1" t="s">
        <v>417</v>
      </c>
      <c r="I93" s="1" t="s">
        <v>55</v>
      </c>
      <c r="J93" s="1"/>
      <c r="K93" s="1"/>
      <c r="L93" s="1" t="s">
        <v>46</v>
      </c>
      <c r="M93" s="1" t="s">
        <v>46</v>
      </c>
      <c r="N93" s="1" t="s">
        <v>46</v>
      </c>
      <c r="O93" s="1" t="s">
        <v>46</v>
      </c>
      <c r="P93" s="1"/>
      <c r="Q93" s="1"/>
      <c r="R93" s="1"/>
    </row>
    <row r="94" spans="1:18" x14ac:dyDescent="0.3">
      <c r="A94" s="1" t="s">
        <v>418</v>
      </c>
      <c r="B94">
        <v>95</v>
      </c>
      <c r="C94" s="1" t="s">
        <v>65</v>
      </c>
      <c r="D94" s="1" t="s">
        <v>891</v>
      </c>
      <c r="E94" s="1" t="s">
        <v>419</v>
      </c>
      <c r="F94" s="1" t="s">
        <v>420</v>
      </c>
      <c r="G94" s="1" t="s">
        <v>882</v>
      </c>
      <c r="H94" s="1" t="s">
        <v>883</v>
      </c>
      <c r="I94" s="1" t="s">
        <v>55</v>
      </c>
      <c r="J94" s="1"/>
      <c r="K94" s="1"/>
      <c r="L94" s="1" t="s">
        <v>37</v>
      </c>
      <c r="M94" s="1" t="s">
        <v>77</v>
      </c>
      <c r="N94" s="1" t="s">
        <v>310</v>
      </c>
      <c r="O94" s="1" t="s">
        <v>37</v>
      </c>
      <c r="P94" s="1"/>
      <c r="Q94" s="1"/>
      <c r="R94" s="1"/>
    </row>
    <row r="95" spans="1:18" x14ac:dyDescent="0.3">
      <c r="A95" s="1" t="s">
        <v>421</v>
      </c>
      <c r="B95">
        <v>96</v>
      </c>
      <c r="C95" s="1" t="s">
        <v>29</v>
      </c>
      <c r="D95" s="1" t="s">
        <v>891</v>
      </c>
      <c r="E95" s="1" t="s">
        <v>422</v>
      </c>
      <c r="F95" s="1" t="s">
        <v>423</v>
      </c>
      <c r="G95" s="1" t="s">
        <v>887</v>
      </c>
      <c r="H95" s="1"/>
      <c r="I95" s="1" t="s">
        <v>55</v>
      </c>
      <c r="J95" s="1"/>
      <c r="K95" s="1"/>
      <c r="L95" s="1" t="s">
        <v>212</v>
      </c>
      <c r="M95" s="1" t="s">
        <v>212</v>
      </c>
      <c r="N95" s="1" t="s">
        <v>212</v>
      </c>
      <c r="O95" s="2">
        <v>44613</v>
      </c>
      <c r="P95" s="1"/>
      <c r="Q95" s="1"/>
      <c r="R95" s="1"/>
    </row>
    <row r="96" spans="1:18" x14ac:dyDescent="0.3">
      <c r="A96" s="1" t="s">
        <v>424</v>
      </c>
      <c r="B96">
        <v>97</v>
      </c>
      <c r="C96" s="1" t="s">
        <v>120</v>
      </c>
      <c r="D96" s="1" t="s">
        <v>875</v>
      </c>
      <c r="E96" s="1" t="s">
        <v>425</v>
      </c>
      <c r="F96" s="1" t="s">
        <v>426</v>
      </c>
      <c r="G96" s="1" t="s">
        <v>922</v>
      </c>
      <c r="H96" s="1" t="s">
        <v>427</v>
      </c>
      <c r="I96" s="1" t="s">
        <v>55</v>
      </c>
      <c r="J96" s="1"/>
      <c r="K96" s="1"/>
      <c r="L96" s="1" t="s">
        <v>78</v>
      </c>
      <c r="M96" s="1" t="s">
        <v>77</v>
      </c>
      <c r="N96" s="1" t="s">
        <v>310</v>
      </c>
      <c r="O96" s="2">
        <v>46023</v>
      </c>
      <c r="P96" s="1"/>
      <c r="Q96" s="1"/>
      <c r="R96" s="1"/>
    </row>
    <row r="97" spans="1:18" x14ac:dyDescent="0.3">
      <c r="A97" s="1" t="s">
        <v>428</v>
      </c>
      <c r="B97">
        <v>98</v>
      </c>
      <c r="C97" s="1" t="s">
        <v>92</v>
      </c>
      <c r="D97" s="1" t="s">
        <v>891</v>
      </c>
      <c r="E97" s="1" t="s">
        <v>429</v>
      </c>
      <c r="F97" s="1" t="s">
        <v>430</v>
      </c>
      <c r="G97" s="1" t="s">
        <v>912</v>
      </c>
      <c r="H97" s="1"/>
      <c r="I97" s="1" t="s">
        <v>55</v>
      </c>
      <c r="J97" s="1"/>
      <c r="K97" s="1"/>
      <c r="L97" s="2">
        <v>47299</v>
      </c>
      <c r="M97" s="1" t="s">
        <v>193</v>
      </c>
      <c r="N97" s="1" t="s">
        <v>56</v>
      </c>
      <c r="O97" s="2">
        <v>46204</v>
      </c>
      <c r="P97" s="1"/>
      <c r="Q97" s="1"/>
      <c r="R97" s="1"/>
    </row>
    <row r="98" spans="1:18" x14ac:dyDescent="0.3">
      <c r="A98" s="1" t="s">
        <v>431</v>
      </c>
      <c r="B98">
        <v>99</v>
      </c>
      <c r="C98" s="1" t="s">
        <v>65</v>
      </c>
      <c r="D98" s="1" t="s">
        <v>891</v>
      </c>
      <c r="E98" s="1" t="s">
        <v>432</v>
      </c>
      <c r="F98" s="1" t="s">
        <v>433</v>
      </c>
      <c r="G98" s="1" t="s">
        <v>882</v>
      </c>
      <c r="H98" s="1" t="s">
        <v>883</v>
      </c>
      <c r="I98" s="1" t="s">
        <v>55</v>
      </c>
      <c r="J98" s="1"/>
      <c r="K98" s="1"/>
      <c r="L98" s="1" t="s">
        <v>434</v>
      </c>
      <c r="M98" s="1" t="s">
        <v>100</v>
      </c>
      <c r="N98" s="1" t="s">
        <v>56</v>
      </c>
      <c r="O98" s="2">
        <v>42583</v>
      </c>
      <c r="P98" s="1"/>
      <c r="Q98" s="1"/>
      <c r="R98" s="1"/>
    </row>
    <row r="99" spans="1:18" x14ac:dyDescent="0.3">
      <c r="A99" s="1" t="s">
        <v>435</v>
      </c>
      <c r="B99">
        <v>100</v>
      </c>
      <c r="C99" s="1" t="s">
        <v>103</v>
      </c>
      <c r="D99" s="1" t="s">
        <v>907</v>
      </c>
      <c r="E99" s="1" t="s">
        <v>436</v>
      </c>
      <c r="F99" s="1" t="s">
        <v>437</v>
      </c>
      <c r="G99" s="1" t="s">
        <v>107</v>
      </c>
      <c r="H99" s="1"/>
      <c r="I99" s="1" t="s">
        <v>35</v>
      </c>
      <c r="J99" s="1"/>
      <c r="K99" s="1"/>
      <c r="L99" s="1" t="s">
        <v>46</v>
      </c>
      <c r="M99" s="1" t="s">
        <v>46</v>
      </c>
      <c r="N99" s="1" t="s">
        <v>46</v>
      </c>
      <c r="O99" s="1" t="s">
        <v>46</v>
      </c>
      <c r="P99" s="1"/>
      <c r="Q99" s="1"/>
      <c r="R99" s="1"/>
    </row>
    <row r="100" spans="1:18" x14ac:dyDescent="0.3">
      <c r="A100" s="1" t="s">
        <v>438</v>
      </c>
      <c r="B100">
        <v>101</v>
      </c>
      <c r="C100" s="1" t="s">
        <v>65</v>
      </c>
      <c r="D100" s="1" t="s">
        <v>907</v>
      </c>
      <c r="E100" s="1" t="s">
        <v>439</v>
      </c>
      <c r="F100" s="1" t="s">
        <v>440</v>
      </c>
      <c r="G100" s="1" t="s">
        <v>882</v>
      </c>
      <c r="H100" s="1" t="s">
        <v>936</v>
      </c>
      <c r="I100" s="1" t="s">
        <v>55</v>
      </c>
      <c r="J100" s="1"/>
      <c r="K100" s="1"/>
      <c r="L100" s="2">
        <v>47299</v>
      </c>
      <c r="M100" s="1" t="s">
        <v>77</v>
      </c>
      <c r="N100" s="1" t="s">
        <v>71</v>
      </c>
      <c r="O100" s="2">
        <v>45658</v>
      </c>
      <c r="P100" s="1"/>
      <c r="Q100" s="1"/>
      <c r="R100" s="1"/>
    </row>
    <row r="101" spans="1:18" x14ac:dyDescent="0.3">
      <c r="A101" s="1" t="s">
        <v>441</v>
      </c>
      <c r="B101">
        <v>102</v>
      </c>
      <c r="C101" s="1" t="s">
        <v>120</v>
      </c>
      <c r="D101" s="1" t="s">
        <v>875</v>
      </c>
      <c r="E101" s="1" t="s">
        <v>442</v>
      </c>
      <c r="F101" s="1" t="s">
        <v>443</v>
      </c>
      <c r="G101" s="1" t="s">
        <v>922</v>
      </c>
      <c r="H101" s="1" t="s">
        <v>427</v>
      </c>
      <c r="I101" s="1" t="s">
        <v>61</v>
      </c>
      <c r="J101" s="1"/>
      <c r="K101" s="1"/>
      <c r="L101" s="1"/>
      <c r="M101" s="1"/>
      <c r="N101" s="1"/>
      <c r="O101" s="1"/>
      <c r="P101" s="1"/>
      <c r="Q101" s="1"/>
      <c r="R101" s="1"/>
    </row>
    <row r="102" spans="1:18" x14ac:dyDescent="0.3">
      <c r="A102" s="1" t="s">
        <v>444</v>
      </c>
      <c r="B102">
        <v>103</v>
      </c>
      <c r="C102" s="1" t="s">
        <v>29</v>
      </c>
      <c r="D102" s="1" t="s">
        <v>891</v>
      </c>
      <c r="E102" s="1" t="s">
        <v>445</v>
      </c>
      <c r="F102" s="1" t="s">
        <v>446</v>
      </c>
      <c r="G102" s="1" t="s">
        <v>876</v>
      </c>
      <c r="H102" s="1" t="s">
        <v>937</v>
      </c>
      <c r="I102" s="1" t="s">
        <v>55</v>
      </c>
      <c r="J102" s="1"/>
      <c r="K102" s="1"/>
      <c r="L102" s="2">
        <v>43039</v>
      </c>
      <c r="M102" s="1" t="s">
        <v>77</v>
      </c>
      <c r="N102" s="1" t="s">
        <v>310</v>
      </c>
      <c r="O102" s="2">
        <v>42675</v>
      </c>
      <c r="P102" s="1"/>
      <c r="Q102" s="1"/>
      <c r="R102" s="1"/>
    </row>
    <row r="103" spans="1:18" x14ac:dyDescent="0.3">
      <c r="A103" s="1" t="s">
        <v>448</v>
      </c>
      <c r="B103">
        <v>104</v>
      </c>
      <c r="C103" s="1" t="s">
        <v>29</v>
      </c>
      <c r="D103" s="1" t="s">
        <v>891</v>
      </c>
      <c r="E103" s="1" t="s">
        <v>449</v>
      </c>
      <c r="F103" s="1" t="s">
        <v>450</v>
      </c>
      <c r="G103" s="1" t="s">
        <v>887</v>
      </c>
      <c r="H103" s="1"/>
      <c r="I103" s="1" t="s">
        <v>35</v>
      </c>
      <c r="J103" s="1"/>
      <c r="K103" s="1"/>
      <c r="L103" s="2">
        <v>46081</v>
      </c>
      <c r="M103" s="1" t="s">
        <v>193</v>
      </c>
      <c r="N103" s="1" t="s">
        <v>193</v>
      </c>
      <c r="O103" s="1" t="s">
        <v>938</v>
      </c>
      <c r="P103" s="1"/>
      <c r="Q103" s="1"/>
      <c r="R103" s="1"/>
    </row>
    <row r="104" spans="1:18" x14ac:dyDescent="0.3">
      <c r="A104" s="1" t="s">
        <v>453</v>
      </c>
      <c r="B104">
        <v>105</v>
      </c>
      <c r="C104" s="1" t="s">
        <v>103</v>
      </c>
      <c r="D104" s="1" t="s">
        <v>907</v>
      </c>
      <c r="E104" s="1" t="s">
        <v>454</v>
      </c>
      <c r="F104" s="1" t="s">
        <v>455</v>
      </c>
      <c r="G104" s="1" t="s">
        <v>107</v>
      </c>
      <c r="H104" s="1"/>
      <c r="I104" s="1" t="s">
        <v>35</v>
      </c>
      <c r="J104" s="1"/>
      <c r="K104" s="1"/>
      <c r="L104" s="1" t="s">
        <v>46</v>
      </c>
      <c r="M104" s="1" t="s">
        <v>46</v>
      </c>
      <c r="N104" s="1" t="s">
        <v>46</v>
      </c>
      <c r="O104" s="1" t="s">
        <v>46</v>
      </c>
      <c r="P104" s="1"/>
      <c r="Q104" s="1"/>
      <c r="R104" s="1"/>
    </row>
    <row r="105" spans="1:18" x14ac:dyDescent="0.3">
      <c r="A105" s="1" t="s">
        <v>456</v>
      </c>
      <c r="B105">
        <v>106</v>
      </c>
      <c r="C105" s="1" t="s">
        <v>50</v>
      </c>
      <c r="D105" s="1" t="s">
        <v>891</v>
      </c>
      <c r="E105" s="1" t="s">
        <v>457</v>
      </c>
      <c r="F105" s="1" t="s">
        <v>458</v>
      </c>
      <c r="G105" s="1" t="s">
        <v>889</v>
      </c>
      <c r="H105" s="1" t="s">
        <v>890</v>
      </c>
      <c r="I105" s="1" t="s">
        <v>55</v>
      </c>
      <c r="J105" s="1"/>
      <c r="K105" s="1"/>
      <c r="L105" s="1" t="s">
        <v>461</v>
      </c>
      <c r="M105" s="1" t="s">
        <v>459</v>
      </c>
      <c r="N105" s="1" t="s">
        <v>460</v>
      </c>
      <c r="O105" s="2">
        <v>43862</v>
      </c>
      <c r="P105" s="1"/>
      <c r="Q105" s="1"/>
      <c r="R105" s="1"/>
    </row>
    <row r="106" spans="1:18" x14ac:dyDescent="0.3">
      <c r="A106" s="1" t="s">
        <v>462</v>
      </c>
      <c r="B106">
        <v>107</v>
      </c>
      <c r="C106" s="1" t="s">
        <v>29</v>
      </c>
      <c r="D106" s="1" t="s">
        <v>907</v>
      </c>
      <c r="E106" s="1" t="s">
        <v>463</v>
      </c>
      <c r="F106" s="1" t="s">
        <v>464</v>
      </c>
      <c r="G106" s="1" t="s">
        <v>876</v>
      </c>
      <c r="H106" s="1" t="s">
        <v>904</v>
      </c>
      <c r="I106" s="1" t="s">
        <v>35</v>
      </c>
      <c r="J106" s="1"/>
      <c r="K106" s="1"/>
      <c r="L106" s="1" t="s">
        <v>46</v>
      </c>
      <c r="M106" s="1" t="s">
        <v>46</v>
      </c>
      <c r="N106" s="1" t="s">
        <v>46</v>
      </c>
      <c r="O106" s="1" t="s">
        <v>46</v>
      </c>
      <c r="P106" s="1"/>
      <c r="Q106" s="1"/>
      <c r="R106" s="1"/>
    </row>
    <row r="107" spans="1:18" x14ac:dyDescent="0.3">
      <c r="A107" s="1" t="s">
        <v>465</v>
      </c>
      <c r="B107">
        <v>108</v>
      </c>
      <c r="C107" s="1" t="s">
        <v>29</v>
      </c>
      <c r="D107" s="1" t="s">
        <v>907</v>
      </c>
      <c r="E107" s="1" t="s">
        <v>466</v>
      </c>
      <c r="F107" s="1" t="s">
        <v>467</v>
      </c>
      <c r="G107" s="1" t="s">
        <v>887</v>
      </c>
      <c r="H107" s="1"/>
      <c r="I107" s="1" t="s">
        <v>35</v>
      </c>
      <c r="J107" s="1"/>
      <c r="K107" s="1"/>
      <c r="L107" s="1" t="s">
        <v>46</v>
      </c>
      <c r="M107" s="1" t="s">
        <v>46</v>
      </c>
      <c r="N107" s="1" t="s">
        <v>46</v>
      </c>
      <c r="O107" s="1" t="s">
        <v>46</v>
      </c>
      <c r="P107" s="1"/>
      <c r="Q107" s="1"/>
      <c r="R107" s="1"/>
    </row>
    <row r="108" spans="1:18" x14ac:dyDescent="0.3">
      <c r="A108" s="1" t="s">
        <v>468</v>
      </c>
      <c r="B108">
        <v>109</v>
      </c>
      <c r="C108" s="1" t="s">
        <v>120</v>
      </c>
      <c r="D108" s="1" t="s">
        <v>875</v>
      </c>
      <c r="E108" s="1" t="s">
        <v>469</v>
      </c>
      <c r="F108" s="1" t="s">
        <v>470</v>
      </c>
      <c r="G108" s="1" t="s">
        <v>922</v>
      </c>
      <c r="H108" s="1" t="s">
        <v>427</v>
      </c>
      <c r="I108" s="1" t="s">
        <v>61</v>
      </c>
      <c r="J108" s="1"/>
      <c r="K108" s="1"/>
      <c r="L108" s="1"/>
      <c r="M108" s="1"/>
      <c r="N108" s="1"/>
      <c r="O108" s="1"/>
      <c r="P108" s="1"/>
      <c r="Q108" s="1"/>
      <c r="R108" s="1"/>
    </row>
    <row r="109" spans="1:18" x14ac:dyDescent="0.3">
      <c r="A109" s="1" t="s">
        <v>471</v>
      </c>
      <c r="B109">
        <v>110</v>
      </c>
      <c r="C109" s="1" t="s">
        <v>103</v>
      </c>
      <c r="D109" s="1" t="s">
        <v>907</v>
      </c>
      <c r="E109" s="1" t="s">
        <v>472</v>
      </c>
      <c r="F109" s="1" t="s">
        <v>473</v>
      </c>
      <c r="G109" s="1" t="s">
        <v>107</v>
      </c>
      <c r="H109" s="1"/>
      <c r="I109" s="1" t="s">
        <v>55</v>
      </c>
      <c r="J109" s="1"/>
      <c r="K109" s="1"/>
      <c r="L109" s="1" t="s">
        <v>46</v>
      </c>
      <c r="M109" s="1" t="s">
        <v>46</v>
      </c>
      <c r="N109" s="1" t="s">
        <v>46</v>
      </c>
      <c r="O109" s="1" t="s">
        <v>46</v>
      </c>
      <c r="P109" s="1"/>
      <c r="Q109" s="1"/>
      <c r="R109" s="1"/>
    </row>
    <row r="110" spans="1:18" x14ac:dyDescent="0.3">
      <c r="A110" s="1" t="s">
        <v>474</v>
      </c>
      <c r="B110">
        <v>111</v>
      </c>
      <c r="C110" s="1" t="s">
        <v>65</v>
      </c>
      <c r="D110" s="1" t="s">
        <v>907</v>
      </c>
      <c r="E110" s="1" t="s">
        <v>475</v>
      </c>
      <c r="F110" s="1" t="s">
        <v>476</v>
      </c>
      <c r="G110" s="1" t="s">
        <v>882</v>
      </c>
      <c r="H110" s="1" t="s">
        <v>883</v>
      </c>
      <c r="I110" s="1" t="s">
        <v>55</v>
      </c>
      <c r="J110" s="1"/>
      <c r="K110" s="1"/>
      <c r="L110" s="2">
        <v>46692</v>
      </c>
      <c r="M110" s="1" t="s">
        <v>77</v>
      </c>
      <c r="N110" s="1" t="s">
        <v>71</v>
      </c>
      <c r="O110" s="2">
        <v>45809</v>
      </c>
      <c r="P110" s="1"/>
      <c r="Q110" s="1"/>
      <c r="R110" s="1"/>
    </row>
    <row r="111" spans="1:18" x14ac:dyDescent="0.3">
      <c r="A111" s="1" t="s">
        <v>477</v>
      </c>
      <c r="B111">
        <v>112</v>
      </c>
      <c r="C111" s="1" t="s">
        <v>92</v>
      </c>
      <c r="D111" s="1" t="s">
        <v>875</v>
      </c>
      <c r="E111" s="1" t="s">
        <v>478</v>
      </c>
      <c r="F111" s="1" t="s">
        <v>479</v>
      </c>
      <c r="G111" s="1" t="s">
        <v>912</v>
      </c>
      <c r="H111" s="1"/>
      <c r="I111" s="1" t="s">
        <v>55</v>
      </c>
      <c r="J111" s="1"/>
      <c r="K111" s="1"/>
      <c r="L111" s="1" t="s">
        <v>480</v>
      </c>
      <c r="M111" s="1" t="s">
        <v>480</v>
      </c>
      <c r="N111" s="1" t="s">
        <v>480</v>
      </c>
      <c r="O111" s="1" t="s">
        <v>480</v>
      </c>
      <c r="P111" s="1"/>
      <c r="Q111" s="1"/>
      <c r="R111" s="1"/>
    </row>
    <row r="112" spans="1:18" x14ac:dyDescent="0.3">
      <c r="A112" s="1" t="s">
        <v>481</v>
      </c>
      <c r="B112">
        <v>113</v>
      </c>
      <c r="C112" s="1" t="s">
        <v>65</v>
      </c>
      <c r="D112" s="1" t="s">
        <v>891</v>
      </c>
      <c r="E112" s="1" t="s">
        <v>482</v>
      </c>
      <c r="F112" s="1" t="s">
        <v>483</v>
      </c>
      <c r="G112" s="1" t="s">
        <v>882</v>
      </c>
      <c r="H112" s="1" t="s">
        <v>883</v>
      </c>
      <c r="I112" s="1" t="s">
        <v>55</v>
      </c>
      <c r="J112" s="1"/>
      <c r="K112" s="1"/>
      <c r="L112" s="1" t="s">
        <v>46</v>
      </c>
      <c r="M112" s="1" t="s">
        <v>46</v>
      </c>
      <c r="N112" s="1" t="s">
        <v>46</v>
      </c>
      <c r="O112" s="1" t="s">
        <v>46</v>
      </c>
      <c r="P112" s="1"/>
      <c r="Q112" s="1"/>
      <c r="R112" s="1"/>
    </row>
    <row r="113" spans="1:18" x14ac:dyDescent="0.3">
      <c r="A113" s="1" t="s">
        <v>484</v>
      </c>
      <c r="B113">
        <v>114</v>
      </c>
      <c r="C113" s="1" t="s">
        <v>120</v>
      </c>
      <c r="D113" s="1" t="s">
        <v>875</v>
      </c>
      <c r="E113" s="1" t="s">
        <v>485</v>
      </c>
      <c r="F113" s="1" t="s">
        <v>486</v>
      </c>
      <c r="G113" s="1" t="s">
        <v>922</v>
      </c>
      <c r="H113" s="1" t="s">
        <v>427</v>
      </c>
      <c r="I113" s="1" t="s">
        <v>61</v>
      </c>
      <c r="J113" s="1"/>
      <c r="K113" s="1"/>
      <c r="L113" s="1"/>
      <c r="M113" s="1"/>
      <c r="N113" s="1"/>
      <c r="O113" s="1"/>
      <c r="P113" s="1"/>
      <c r="Q113" s="1"/>
      <c r="R113" s="1"/>
    </row>
    <row r="114" spans="1:18" x14ac:dyDescent="0.3">
      <c r="A114" s="1" t="s">
        <v>487</v>
      </c>
      <c r="B114">
        <v>115</v>
      </c>
      <c r="C114" s="1" t="s">
        <v>29</v>
      </c>
      <c r="D114" s="1" t="s">
        <v>907</v>
      </c>
      <c r="E114" s="1" t="s">
        <v>488</v>
      </c>
      <c r="F114" s="1" t="s">
        <v>489</v>
      </c>
      <c r="G114" s="1" t="s">
        <v>876</v>
      </c>
      <c r="H114" s="1" t="s">
        <v>920</v>
      </c>
      <c r="I114" s="1" t="s">
        <v>35</v>
      </c>
      <c r="J114" s="1"/>
      <c r="K114" s="1"/>
      <c r="L114" s="2">
        <v>45535</v>
      </c>
      <c r="M114" s="1" t="s">
        <v>77</v>
      </c>
      <c r="N114" s="1" t="s">
        <v>56</v>
      </c>
      <c r="O114" s="2">
        <v>44440</v>
      </c>
      <c r="P114" s="1"/>
      <c r="Q114" s="1"/>
      <c r="R114" s="1"/>
    </row>
    <row r="115" spans="1:18" x14ac:dyDescent="0.3">
      <c r="A115" s="1" t="s">
        <v>490</v>
      </c>
      <c r="B115">
        <v>116</v>
      </c>
      <c r="C115" s="1" t="s">
        <v>29</v>
      </c>
      <c r="D115" s="1" t="s">
        <v>907</v>
      </c>
      <c r="E115" s="1" t="s">
        <v>491</v>
      </c>
      <c r="F115" s="1" t="s">
        <v>492</v>
      </c>
      <c r="G115" s="1" t="s">
        <v>887</v>
      </c>
      <c r="H115" s="1"/>
      <c r="I115" s="1" t="s">
        <v>55</v>
      </c>
      <c r="J115" s="1"/>
      <c r="K115" s="1"/>
      <c r="L115" s="2">
        <v>45728</v>
      </c>
      <c r="M115" s="1" t="s">
        <v>36</v>
      </c>
      <c r="N115" s="1" t="s">
        <v>37</v>
      </c>
      <c r="O115" s="2">
        <v>45363</v>
      </c>
      <c r="P115" s="1"/>
      <c r="Q115" s="1"/>
      <c r="R115" s="1"/>
    </row>
    <row r="116" spans="1:18" x14ac:dyDescent="0.3">
      <c r="A116" s="1" t="s">
        <v>493</v>
      </c>
      <c r="B116">
        <v>117</v>
      </c>
      <c r="C116" s="1" t="s">
        <v>65</v>
      </c>
      <c r="D116" s="1" t="s">
        <v>907</v>
      </c>
      <c r="E116" s="1" t="s">
        <v>494</v>
      </c>
      <c r="F116" s="1" t="s">
        <v>495</v>
      </c>
      <c r="G116" s="1" t="s">
        <v>882</v>
      </c>
      <c r="H116" s="1" t="s">
        <v>883</v>
      </c>
      <c r="I116" s="1" t="s">
        <v>61</v>
      </c>
      <c r="J116" s="1"/>
      <c r="K116" s="1"/>
      <c r="L116" s="1" t="s">
        <v>46</v>
      </c>
      <c r="M116" s="1" t="s">
        <v>46</v>
      </c>
      <c r="N116" s="1" t="s">
        <v>46</v>
      </c>
      <c r="O116" s="1" t="s">
        <v>46</v>
      </c>
      <c r="P116" s="1"/>
      <c r="Q116" s="1"/>
      <c r="R116" s="1"/>
    </row>
    <row r="117" spans="1:18" x14ac:dyDescent="0.3">
      <c r="A117" s="1" t="s">
        <v>496</v>
      </c>
      <c r="B117">
        <v>118</v>
      </c>
      <c r="C117" s="1" t="s">
        <v>50</v>
      </c>
      <c r="D117" s="1" t="s">
        <v>891</v>
      </c>
      <c r="E117" s="1" t="s">
        <v>497</v>
      </c>
      <c r="F117" s="1" t="s">
        <v>498</v>
      </c>
      <c r="G117" s="1" t="s">
        <v>939</v>
      </c>
      <c r="H117" s="1" t="s">
        <v>940</v>
      </c>
      <c r="I117" s="1" t="s">
        <v>55</v>
      </c>
      <c r="J117" s="1"/>
      <c r="K117" s="1"/>
      <c r="L117" s="1" t="s">
        <v>212</v>
      </c>
      <c r="M117" s="1" t="s">
        <v>212</v>
      </c>
      <c r="N117" s="1" t="s">
        <v>212</v>
      </c>
      <c r="O117" s="2">
        <v>43839</v>
      </c>
      <c r="P117" s="1"/>
      <c r="Q117" s="1"/>
      <c r="R117" s="1"/>
    </row>
    <row r="118" spans="1:18" x14ac:dyDescent="0.3">
      <c r="A118" s="1" t="s">
        <v>501</v>
      </c>
      <c r="B118">
        <v>119</v>
      </c>
      <c r="C118" s="1" t="s">
        <v>92</v>
      </c>
      <c r="D118" s="1" t="s">
        <v>875</v>
      </c>
      <c r="E118" s="1" t="s">
        <v>502</v>
      </c>
      <c r="F118" s="1" t="s">
        <v>503</v>
      </c>
      <c r="G118" s="1" t="s">
        <v>903</v>
      </c>
      <c r="H118" s="1"/>
      <c r="I118" s="1" t="s">
        <v>61</v>
      </c>
      <c r="J118" s="1"/>
      <c r="K118" s="1"/>
      <c r="L118" s="1"/>
      <c r="M118" s="1"/>
      <c r="N118" s="1"/>
      <c r="O118" s="1"/>
      <c r="P118" s="1"/>
      <c r="Q118" s="1"/>
      <c r="R118" s="1"/>
    </row>
    <row r="119" spans="1:18" x14ac:dyDescent="0.3">
      <c r="A119" s="1" t="s">
        <v>504</v>
      </c>
      <c r="B119">
        <v>120</v>
      </c>
      <c r="C119" s="1" t="s">
        <v>81</v>
      </c>
      <c r="D119" s="1" t="s">
        <v>891</v>
      </c>
      <c r="E119" s="1" t="s">
        <v>505</v>
      </c>
      <c r="F119" s="1" t="s">
        <v>506</v>
      </c>
      <c r="G119" s="1" t="s">
        <v>916</v>
      </c>
      <c r="H119" s="1"/>
      <c r="I119" s="1" t="s">
        <v>55</v>
      </c>
      <c r="J119" s="1"/>
      <c r="K119" s="1"/>
      <c r="L119" s="1" t="s">
        <v>46</v>
      </c>
      <c r="M119" s="1" t="s">
        <v>46</v>
      </c>
      <c r="N119" s="1" t="s">
        <v>46</v>
      </c>
      <c r="O119" s="1" t="s">
        <v>46</v>
      </c>
      <c r="P119" s="1"/>
      <c r="Q119" s="1"/>
      <c r="R119" s="1"/>
    </row>
    <row r="120" spans="1:18" x14ac:dyDescent="0.3">
      <c r="A120" s="1" t="s">
        <v>507</v>
      </c>
      <c r="B120">
        <v>121</v>
      </c>
      <c r="C120" s="1" t="s">
        <v>81</v>
      </c>
      <c r="D120" s="1" t="s">
        <v>891</v>
      </c>
      <c r="E120" s="1" t="s">
        <v>508</v>
      </c>
      <c r="F120" s="1" t="s">
        <v>509</v>
      </c>
      <c r="G120" s="1" t="s">
        <v>916</v>
      </c>
      <c r="H120" s="1"/>
      <c r="I120" s="1" t="s">
        <v>55</v>
      </c>
      <c r="J120" s="1"/>
      <c r="K120" s="1"/>
      <c r="L120" s="1" t="s">
        <v>46</v>
      </c>
      <c r="M120" s="1" t="s">
        <v>46</v>
      </c>
      <c r="N120" s="1" t="s">
        <v>46</v>
      </c>
      <c r="O120" s="1" t="s">
        <v>46</v>
      </c>
      <c r="P120" s="1"/>
      <c r="Q120" s="1"/>
      <c r="R120" s="1"/>
    </row>
    <row r="121" spans="1:18" x14ac:dyDescent="0.3">
      <c r="A121" s="1" t="s">
        <v>510</v>
      </c>
      <c r="B121">
        <v>122</v>
      </c>
      <c r="C121" s="1" t="s">
        <v>81</v>
      </c>
      <c r="D121" s="1" t="s">
        <v>891</v>
      </c>
      <c r="E121" s="1" t="s">
        <v>511</v>
      </c>
      <c r="F121" s="1" t="s">
        <v>512</v>
      </c>
      <c r="G121" s="1" t="s">
        <v>210</v>
      </c>
      <c r="H121" s="1"/>
      <c r="I121" s="1" t="s">
        <v>55</v>
      </c>
      <c r="J121" s="1"/>
      <c r="K121" s="1"/>
      <c r="L121" s="1" t="s">
        <v>941</v>
      </c>
      <c r="M121" s="1" t="s">
        <v>37</v>
      </c>
      <c r="N121" s="1" t="s">
        <v>37</v>
      </c>
      <c r="O121" s="2">
        <v>44197</v>
      </c>
      <c r="P121" s="1"/>
      <c r="Q121" s="1"/>
      <c r="R121" s="1"/>
    </row>
    <row r="122" spans="1:18" x14ac:dyDescent="0.3">
      <c r="A122" s="1" t="s">
        <v>514</v>
      </c>
      <c r="B122">
        <v>123</v>
      </c>
      <c r="C122" s="1" t="s">
        <v>120</v>
      </c>
      <c r="D122" s="1" t="s">
        <v>907</v>
      </c>
      <c r="E122" s="1" t="s">
        <v>942</v>
      </c>
      <c r="F122" s="1"/>
      <c r="G122" s="1" t="s">
        <v>922</v>
      </c>
      <c r="H122" s="1" t="s">
        <v>427</v>
      </c>
      <c r="I122" s="1"/>
      <c r="J122" s="1"/>
      <c r="K122" s="1"/>
      <c r="L122" s="1"/>
      <c r="M122" s="1"/>
      <c r="N122" s="1"/>
      <c r="O122" s="1"/>
      <c r="P122" s="1"/>
      <c r="Q122" s="1"/>
      <c r="R122" s="1"/>
    </row>
    <row r="123" spans="1:18" x14ac:dyDescent="0.3">
      <c r="A123" s="1" t="s">
        <v>517</v>
      </c>
      <c r="B123">
        <v>124</v>
      </c>
      <c r="C123" s="1" t="s">
        <v>120</v>
      </c>
      <c r="D123" s="1" t="s">
        <v>875</v>
      </c>
      <c r="E123" s="1" t="s">
        <v>518</v>
      </c>
      <c r="F123" s="1" t="s">
        <v>519</v>
      </c>
      <c r="G123" s="1" t="s">
        <v>922</v>
      </c>
      <c r="H123" s="1" t="s">
        <v>943</v>
      </c>
      <c r="I123" s="1" t="s">
        <v>61</v>
      </c>
      <c r="J123" s="1"/>
      <c r="K123" s="1"/>
      <c r="L123" s="2">
        <v>46387</v>
      </c>
      <c r="M123" s="1" t="s">
        <v>77</v>
      </c>
      <c r="N123" s="1" t="s">
        <v>56</v>
      </c>
      <c r="O123" s="2">
        <v>45992</v>
      </c>
      <c r="P123" s="1"/>
      <c r="Q123" s="1"/>
      <c r="R123" s="1"/>
    </row>
    <row r="124" spans="1:18" x14ac:dyDescent="0.3">
      <c r="A124" s="1" t="s">
        <v>521</v>
      </c>
      <c r="B124">
        <v>125</v>
      </c>
      <c r="C124" s="1" t="s">
        <v>50</v>
      </c>
      <c r="D124" s="1" t="s">
        <v>891</v>
      </c>
      <c r="E124" s="1" t="s">
        <v>522</v>
      </c>
      <c r="F124" s="1" t="s">
        <v>523</v>
      </c>
      <c r="G124" s="1" t="s">
        <v>879</v>
      </c>
      <c r="H124" s="1" t="s">
        <v>940</v>
      </c>
      <c r="I124" s="1" t="s">
        <v>55</v>
      </c>
      <c r="J124" s="1"/>
      <c r="K124" s="1"/>
      <c r="L124" s="1" t="s">
        <v>37</v>
      </c>
      <c r="M124" s="1" t="s">
        <v>37</v>
      </c>
      <c r="N124" s="1" t="s">
        <v>37</v>
      </c>
      <c r="O124" s="2">
        <v>41760</v>
      </c>
      <c r="P124" s="1"/>
      <c r="Q124" s="1"/>
      <c r="R124" s="1"/>
    </row>
    <row r="125" spans="1:18" x14ac:dyDescent="0.3">
      <c r="A125" s="1" t="s">
        <v>524</v>
      </c>
      <c r="B125">
        <v>126</v>
      </c>
      <c r="C125" s="1" t="s">
        <v>81</v>
      </c>
      <c r="D125" s="1" t="s">
        <v>907</v>
      </c>
      <c r="E125" s="1" t="s">
        <v>525</v>
      </c>
      <c r="F125" s="1" t="s">
        <v>526</v>
      </c>
      <c r="G125" s="1" t="s">
        <v>85</v>
      </c>
      <c r="H125" s="1"/>
      <c r="I125" s="1" t="s">
        <v>55</v>
      </c>
      <c r="J125" s="1"/>
      <c r="K125" s="1"/>
      <c r="L125" s="2">
        <v>44911</v>
      </c>
      <c r="M125" s="1" t="s">
        <v>36</v>
      </c>
      <c r="N125" s="1" t="s">
        <v>37</v>
      </c>
      <c r="O125" s="2">
        <v>44547</v>
      </c>
      <c r="P125" s="1"/>
      <c r="Q125" s="1"/>
      <c r="R125" s="1"/>
    </row>
    <row r="126" spans="1:18" x14ac:dyDescent="0.3">
      <c r="A126" s="1" t="s">
        <v>527</v>
      </c>
      <c r="B126">
        <v>127</v>
      </c>
      <c r="C126" s="1" t="s">
        <v>92</v>
      </c>
      <c r="D126" s="1" t="s">
        <v>891</v>
      </c>
      <c r="E126" s="1" t="s">
        <v>528</v>
      </c>
      <c r="F126" s="1" t="s">
        <v>529</v>
      </c>
      <c r="G126" s="1" t="s">
        <v>888</v>
      </c>
      <c r="H126" s="1"/>
      <c r="I126" s="1" t="s">
        <v>35</v>
      </c>
      <c r="J126" s="1"/>
      <c r="K126" s="1"/>
      <c r="L126" s="2">
        <v>46446</v>
      </c>
      <c r="M126" s="1" t="s">
        <v>100</v>
      </c>
      <c r="N126" s="1" t="s">
        <v>56</v>
      </c>
      <c r="O126" s="2">
        <v>46082</v>
      </c>
      <c r="P126" s="1"/>
      <c r="Q126" s="1"/>
      <c r="R126" s="1"/>
    </row>
    <row r="127" spans="1:18" x14ac:dyDescent="0.3">
      <c r="A127" s="1" t="s">
        <v>530</v>
      </c>
      <c r="B127">
        <v>128</v>
      </c>
      <c r="C127" s="1" t="s">
        <v>65</v>
      </c>
      <c r="D127" s="1" t="s">
        <v>907</v>
      </c>
      <c r="E127" s="1" t="s">
        <v>531</v>
      </c>
      <c r="F127" s="1" t="s">
        <v>532</v>
      </c>
      <c r="G127" s="1" t="s">
        <v>882</v>
      </c>
      <c r="H127" s="1" t="s">
        <v>883</v>
      </c>
      <c r="I127" s="1" t="s">
        <v>55</v>
      </c>
      <c r="J127" s="1"/>
      <c r="K127" s="1"/>
      <c r="L127" s="1" t="s">
        <v>78</v>
      </c>
      <c r="M127" s="1" t="s">
        <v>533</v>
      </c>
      <c r="N127" s="1" t="s">
        <v>56</v>
      </c>
      <c r="O127" s="2">
        <v>43132</v>
      </c>
      <c r="P127" s="1"/>
      <c r="Q127" s="1"/>
      <c r="R127" s="1"/>
    </row>
    <row r="128" spans="1:18" x14ac:dyDescent="0.3">
      <c r="A128" s="1" t="s">
        <v>534</v>
      </c>
      <c r="B128">
        <v>129</v>
      </c>
      <c r="C128" s="1" t="s">
        <v>29</v>
      </c>
      <c r="D128" s="1" t="s">
        <v>907</v>
      </c>
      <c r="E128" s="1" t="s">
        <v>535</v>
      </c>
      <c r="F128" s="1" t="s">
        <v>536</v>
      </c>
      <c r="G128" s="1" t="s">
        <v>887</v>
      </c>
      <c r="H128" s="1"/>
      <c r="I128" s="1" t="s">
        <v>55</v>
      </c>
      <c r="J128" s="1"/>
      <c r="K128" s="1"/>
      <c r="L128" s="2">
        <v>41639</v>
      </c>
      <c r="M128" s="1" t="s">
        <v>77</v>
      </c>
      <c r="N128" s="1" t="s">
        <v>56</v>
      </c>
      <c r="O128" s="2">
        <v>40544</v>
      </c>
      <c r="P128" s="1"/>
      <c r="Q128" s="1"/>
      <c r="R128" s="1"/>
    </row>
    <row r="129" spans="1:18" x14ac:dyDescent="0.3">
      <c r="A129" s="1" t="s">
        <v>537</v>
      </c>
      <c r="B129">
        <v>130</v>
      </c>
      <c r="C129" s="1" t="s">
        <v>50</v>
      </c>
      <c r="D129" s="1" t="s">
        <v>891</v>
      </c>
      <c r="E129" s="1" t="s">
        <v>538</v>
      </c>
      <c r="F129" s="1" t="s">
        <v>539</v>
      </c>
      <c r="G129" s="1" t="s">
        <v>879</v>
      </c>
      <c r="H129" s="1" t="s">
        <v>897</v>
      </c>
      <c r="I129" s="1" t="s">
        <v>55</v>
      </c>
      <c r="J129" s="1"/>
      <c r="K129" s="1"/>
      <c r="L129" s="2">
        <v>46387</v>
      </c>
      <c r="M129" s="1" t="s">
        <v>77</v>
      </c>
      <c r="N129" s="1" t="s">
        <v>71</v>
      </c>
      <c r="O129" s="1" t="s">
        <v>212</v>
      </c>
      <c r="P129" s="1"/>
      <c r="Q129" s="1"/>
      <c r="R129" s="1"/>
    </row>
    <row r="130" spans="1:18" x14ac:dyDescent="0.3">
      <c r="A130" s="1" t="s">
        <v>540</v>
      </c>
      <c r="B130">
        <v>131</v>
      </c>
      <c r="C130" s="1" t="s">
        <v>92</v>
      </c>
      <c r="D130" s="1" t="s">
        <v>875</v>
      </c>
      <c r="E130" s="1" t="s">
        <v>541</v>
      </c>
      <c r="F130" s="1" t="s">
        <v>542</v>
      </c>
      <c r="G130" s="1" t="s">
        <v>888</v>
      </c>
      <c r="H130" s="1"/>
      <c r="I130" s="1" t="s">
        <v>35</v>
      </c>
      <c r="J130" s="1"/>
      <c r="K130" s="1"/>
      <c r="L130" s="1"/>
      <c r="M130" s="1"/>
      <c r="N130" s="1"/>
      <c r="O130" s="1"/>
      <c r="P130" s="1"/>
      <c r="Q130" s="1"/>
      <c r="R130" s="1"/>
    </row>
    <row r="131" spans="1:18" x14ac:dyDescent="0.3">
      <c r="A131" s="1" t="s">
        <v>543</v>
      </c>
      <c r="B131">
        <v>132</v>
      </c>
      <c r="C131" s="1" t="s">
        <v>92</v>
      </c>
      <c r="D131" s="1" t="s">
        <v>875</v>
      </c>
      <c r="E131" s="1" t="s">
        <v>544</v>
      </c>
      <c r="F131" s="1" t="s">
        <v>545</v>
      </c>
      <c r="G131" s="1" t="s">
        <v>903</v>
      </c>
      <c r="H131" s="1"/>
      <c r="I131" s="1" t="s">
        <v>61</v>
      </c>
      <c r="J131" s="1"/>
      <c r="K131" s="1"/>
      <c r="L131" s="1"/>
      <c r="M131" s="1"/>
      <c r="N131" s="1"/>
      <c r="O131" s="1"/>
      <c r="P131" s="1"/>
      <c r="Q131" s="1"/>
      <c r="R131" s="1"/>
    </row>
    <row r="132" spans="1:18" x14ac:dyDescent="0.3">
      <c r="A132" s="1" t="s">
        <v>546</v>
      </c>
      <c r="B132">
        <v>133</v>
      </c>
      <c r="C132" s="1" t="s">
        <v>29</v>
      </c>
      <c r="D132" s="1" t="s">
        <v>907</v>
      </c>
      <c r="E132" s="1" t="s">
        <v>547</v>
      </c>
      <c r="F132" s="1" t="s">
        <v>548</v>
      </c>
      <c r="G132" s="1" t="s">
        <v>876</v>
      </c>
      <c r="H132" s="1" t="s">
        <v>920</v>
      </c>
      <c r="I132" s="1" t="s">
        <v>35</v>
      </c>
      <c r="J132" s="1"/>
      <c r="K132" s="1"/>
      <c r="L132" s="2">
        <v>44926</v>
      </c>
      <c r="M132" s="1" t="s">
        <v>36</v>
      </c>
      <c r="N132" s="1" t="s">
        <v>212</v>
      </c>
      <c r="O132" s="2">
        <v>44562</v>
      </c>
      <c r="P132" s="1"/>
      <c r="Q132" s="1"/>
      <c r="R132" s="1"/>
    </row>
    <row r="133" spans="1:18" x14ac:dyDescent="0.3">
      <c r="A133" s="1" t="s">
        <v>549</v>
      </c>
      <c r="B133">
        <v>134</v>
      </c>
      <c r="C133" s="1" t="s">
        <v>120</v>
      </c>
      <c r="D133" s="1" t="s">
        <v>891</v>
      </c>
      <c r="E133" s="1" t="s">
        <v>550</v>
      </c>
      <c r="F133" s="1" t="s">
        <v>551</v>
      </c>
      <c r="G133" s="1" t="s">
        <v>896</v>
      </c>
      <c r="H133" s="1" t="s">
        <v>127</v>
      </c>
      <c r="I133" s="1" t="s">
        <v>35</v>
      </c>
      <c r="J133" s="1"/>
      <c r="K133" s="1" t="s">
        <v>552</v>
      </c>
      <c r="L133" s="1" t="s">
        <v>37</v>
      </c>
      <c r="M133" s="1" t="s">
        <v>77</v>
      </c>
      <c r="N133" s="1" t="s">
        <v>56</v>
      </c>
      <c r="O133" s="2">
        <v>45097</v>
      </c>
      <c r="P133" s="1"/>
      <c r="Q133" s="1"/>
      <c r="R133" s="1"/>
    </row>
    <row r="134" spans="1:18" x14ac:dyDescent="0.3">
      <c r="A134" s="1" t="s">
        <v>553</v>
      </c>
      <c r="B134">
        <v>135</v>
      </c>
      <c r="C134" s="1" t="s">
        <v>120</v>
      </c>
      <c r="D134" s="1" t="s">
        <v>875</v>
      </c>
      <c r="E134" s="1" t="s">
        <v>554</v>
      </c>
      <c r="F134" s="1" t="s">
        <v>555</v>
      </c>
      <c r="G134" s="1" t="s">
        <v>922</v>
      </c>
      <c r="H134" s="1" t="s">
        <v>303</v>
      </c>
      <c r="I134" s="1" t="s">
        <v>55</v>
      </c>
      <c r="J134" s="1"/>
      <c r="K134" s="1"/>
      <c r="L134" s="1" t="s">
        <v>480</v>
      </c>
      <c r="M134" s="1" t="s">
        <v>480</v>
      </c>
      <c r="N134" s="1" t="s">
        <v>480</v>
      </c>
      <c r="O134" s="1" t="s">
        <v>480</v>
      </c>
      <c r="P134" s="1"/>
      <c r="Q134" s="1"/>
      <c r="R134" s="1"/>
    </row>
    <row r="135" spans="1:18" x14ac:dyDescent="0.3">
      <c r="A135" s="1" t="s">
        <v>556</v>
      </c>
      <c r="B135">
        <v>136</v>
      </c>
      <c r="C135" s="1" t="s">
        <v>103</v>
      </c>
      <c r="D135" s="1" t="s">
        <v>907</v>
      </c>
      <c r="E135" s="1" t="s">
        <v>557</v>
      </c>
      <c r="F135" s="1" t="s">
        <v>558</v>
      </c>
      <c r="G135" s="1" t="s">
        <v>107</v>
      </c>
      <c r="H135" s="1"/>
      <c r="I135" s="1" t="s">
        <v>55</v>
      </c>
      <c r="J135" s="1"/>
      <c r="K135" s="1"/>
      <c r="L135" s="1" t="s">
        <v>46</v>
      </c>
      <c r="M135" s="1" t="s">
        <v>46</v>
      </c>
      <c r="N135" s="1" t="s">
        <v>46</v>
      </c>
      <c r="O135" s="1" t="s">
        <v>46</v>
      </c>
      <c r="P135" s="1"/>
      <c r="Q135" s="1"/>
      <c r="R135" s="1"/>
    </row>
    <row r="136" spans="1:18" x14ac:dyDescent="0.3">
      <c r="A136" s="1" t="s">
        <v>559</v>
      </c>
      <c r="B136">
        <v>137</v>
      </c>
      <c r="C136" s="1" t="s">
        <v>50</v>
      </c>
      <c r="D136" s="1" t="s">
        <v>891</v>
      </c>
      <c r="E136" s="1" t="s">
        <v>560</v>
      </c>
      <c r="F136" s="1" t="s">
        <v>561</v>
      </c>
      <c r="G136" s="1" t="s">
        <v>879</v>
      </c>
      <c r="H136" s="1" t="s">
        <v>940</v>
      </c>
      <c r="I136" s="1" t="s">
        <v>55</v>
      </c>
      <c r="J136" s="1"/>
      <c r="K136" s="1"/>
      <c r="L136" s="2">
        <v>45747</v>
      </c>
      <c r="M136" s="1" t="s">
        <v>212</v>
      </c>
      <c r="N136" s="1" t="s">
        <v>212</v>
      </c>
      <c r="O136" s="2">
        <v>44652</v>
      </c>
      <c r="P136" s="1"/>
      <c r="Q136" s="1"/>
      <c r="R136" s="1"/>
    </row>
    <row r="137" spans="1:18" ht="43.2" x14ac:dyDescent="0.3">
      <c r="A137" s="1" t="s">
        <v>562</v>
      </c>
      <c r="B137">
        <v>138</v>
      </c>
      <c r="C137" s="1" t="s">
        <v>29</v>
      </c>
      <c r="D137" s="1" t="s">
        <v>907</v>
      </c>
      <c r="E137" s="1" t="s">
        <v>563</v>
      </c>
      <c r="F137" s="1" t="s">
        <v>564</v>
      </c>
      <c r="G137" s="1" t="s">
        <v>887</v>
      </c>
      <c r="H137" s="1"/>
      <c r="I137" s="1" t="s">
        <v>55</v>
      </c>
      <c r="J137" s="1"/>
      <c r="K137" s="1"/>
      <c r="L137" s="3" t="s">
        <v>923</v>
      </c>
      <c r="M137" s="1" t="s">
        <v>77</v>
      </c>
      <c r="N137" s="1" t="s">
        <v>56</v>
      </c>
      <c r="O137" s="2">
        <v>40544</v>
      </c>
      <c r="P137" s="1"/>
      <c r="Q137" s="1"/>
      <c r="R137" s="1"/>
    </row>
    <row r="138" spans="1:18" x14ac:dyDescent="0.3">
      <c r="A138" s="1" t="s">
        <v>565</v>
      </c>
      <c r="B138">
        <v>139</v>
      </c>
      <c r="C138" s="1" t="s">
        <v>120</v>
      </c>
      <c r="D138" s="1" t="s">
        <v>891</v>
      </c>
      <c r="E138" s="1" t="s">
        <v>566</v>
      </c>
      <c r="F138" s="1" t="s">
        <v>567</v>
      </c>
      <c r="G138" s="1" t="s">
        <v>922</v>
      </c>
      <c r="H138" s="1" t="s">
        <v>944</v>
      </c>
      <c r="I138" s="1" t="s">
        <v>55</v>
      </c>
      <c r="J138" s="1"/>
      <c r="K138" s="1"/>
      <c r="L138" s="1" t="s">
        <v>78</v>
      </c>
      <c r="M138" s="1" t="s">
        <v>77</v>
      </c>
      <c r="N138" s="1" t="s">
        <v>56</v>
      </c>
      <c r="O138" s="2">
        <v>46023</v>
      </c>
      <c r="P138" s="1"/>
      <c r="Q138" s="1"/>
      <c r="R138" s="1"/>
    </row>
    <row r="139" spans="1:18" x14ac:dyDescent="0.3">
      <c r="A139" s="1" t="s">
        <v>569</v>
      </c>
      <c r="B139">
        <v>140</v>
      </c>
      <c r="C139" s="1" t="s">
        <v>120</v>
      </c>
      <c r="D139" s="1" t="s">
        <v>891</v>
      </c>
      <c r="E139" s="1" t="s">
        <v>945</v>
      </c>
      <c r="F139" s="1" t="s">
        <v>571</v>
      </c>
      <c r="G139" s="1" t="s">
        <v>922</v>
      </c>
      <c r="H139" s="1" t="s">
        <v>944</v>
      </c>
      <c r="I139" s="1" t="s">
        <v>55</v>
      </c>
      <c r="J139" s="1"/>
      <c r="K139" s="1"/>
      <c r="L139" s="1" t="s">
        <v>46</v>
      </c>
      <c r="M139" s="1" t="s">
        <v>46</v>
      </c>
      <c r="N139" s="1" t="s">
        <v>46</v>
      </c>
      <c r="O139" s="1" t="s">
        <v>46</v>
      </c>
      <c r="P139" s="1"/>
      <c r="Q139" s="1"/>
      <c r="R139" s="1"/>
    </row>
    <row r="140" spans="1:18" x14ac:dyDescent="0.3">
      <c r="A140" s="1" t="s">
        <v>572</v>
      </c>
      <c r="B140">
        <v>141</v>
      </c>
      <c r="C140" s="1" t="s">
        <v>120</v>
      </c>
      <c r="D140" s="1" t="s">
        <v>875</v>
      </c>
      <c r="E140" s="1" t="s">
        <v>573</v>
      </c>
      <c r="F140" s="1" t="s">
        <v>574</v>
      </c>
      <c r="G140" s="1" t="s">
        <v>896</v>
      </c>
      <c r="H140" s="1" t="s">
        <v>127</v>
      </c>
      <c r="I140" s="1" t="s">
        <v>55</v>
      </c>
      <c r="J140" s="1"/>
      <c r="K140" s="1"/>
      <c r="L140" s="2">
        <v>46752</v>
      </c>
      <c r="M140" s="1" t="s">
        <v>575</v>
      </c>
      <c r="N140" s="1" t="s">
        <v>576</v>
      </c>
      <c r="O140" s="2">
        <v>45292</v>
      </c>
      <c r="P140" s="1"/>
      <c r="Q140" s="1"/>
      <c r="R140" s="1"/>
    </row>
    <row r="141" spans="1:18" x14ac:dyDescent="0.3">
      <c r="A141" s="1" t="s">
        <v>577</v>
      </c>
      <c r="B141">
        <v>142</v>
      </c>
      <c r="C141" s="1" t="s">
        <v>65</v>
      </c>
      <c r="D141" s="1" t="s">
        <v>907</v>
      </c>
      <c r="E141" s="1" t="s">
        <v>578</v>
      </c>
      <c r="F141" s="1" t="s">
        <v>579</v>
      </c>
      <c r="G141" s="1" t="s">
        <v>901</v>
      </c>
      <c r="H141" s="1" t="s">
        <v>946</v>
      </c>
      <c r="I141" s="1" t="s">
        <v>55</v>
      </c>
      <c r="J141" s="1"/>
      <c r="K141" s="1"/>
      <c r="L141" s="1" t="s">
        <v>46</v>
      </c>
      <c r="M141" s="1" t="s">
        <v>46</v>
      </c>
      <c r="N141" s="1" t="s">
        <v>46</v>
      </c>
      <c r="O141" s="1" t="s">
        <v>46</v>
      </c>
      <c r="P141" s="1"/>
      <c r="Q141" s="1"/>
      <c r="R141" s="1"/>
    </row>
    <row r="142" spans="1:18" x14ac:dyDescent="0.3">
      <c r="A142" s="1" t="s">
        <v>581</v>
      </c>
      <c r="B142">
        <v>143</v>
      </c>
      <c r="C142" s="1" t="s">
        <v>65</v>
      </c>
      <c r="D142" s="1" t="s">
        <v>907</v>
      </c>
      <c r="E142" s="1" t="s">
        <v>582</v>
      </c>
      <c r="F142" s="1" t="s">
        <v>583</v>
      </c>
      <c r="G142" s="1" t="s">
        <v>901</v>
      </c>
      <c r="H142" s="1" t="s">
        <v>946</v>
      </c>
      <c r="I142" s="1" t="s">
        <v>55</v>
      </c>
      <c r="J142" s="1"/>
      <c r="K142" s="1"/>
      <c r="L142" s="1" t="s">
        <v>46</v>
      </c>
      <c r="M142" s="1" t="s">
        <v>46</v>
      </c>
      <c r="N142" s="1" t="s">
        <v>46</v>
      </c>
      <c r="O142" s="1" t="s">
        <v>46</v>
      </c>
      <c r="P142" s="1"/>
      <c r="Q142" s="1"/>
      <c r="R142" s="1"/>
    </row>
    <row r="143" spans="1:18" x14ac:dyDescent="0.3">
      <c r="A143" s="1" t="s">
        <v>584</v>
      </c>
      <c r="B143">
        <v>144</v>
      </c>
      <c r="C143" s="1" t="s">
        <v>29</v>
      </c>
      <c r="D143" s="1" t="s">
        <v>907</v>
      </c>
      <c r="E143" s="1" t="s">
        <v>585</v>
      </c>
      <c r="F143" s="1" t="s">
        <v>586</v>
      </c>
      <c r="G143" s="1" t="s">
        <v>876</v>
      </c>
      <c r="H143" s="1" t="s">
        <v>937</v>
      </c>
      <c r="I143" s="1" t="s">
        <v>55</v>
      </c>
      <c r="J143" s="1"/>
      <c r="K143" s="1"/>
      <c r="L143" s="2">
        <v>44985</v>
      </c>
      <c r="M143" s="1" t="s">
        <v>77</v>
      </c>
      <c r="N143" s="1" t="s">
        <v>310</v>
      </c>
      <c r="O143" s="2">
        <v>44621</v>
      </c>
      <c r="P143" s="1"/>
      <c r="Q143" s="1"/>
      <c r="R143" s="1"/>
    </row>
    <row r="144" spans="1:18" x14ac:dyDescent="0.3">
      <c r="A144" s="1" t="s">
        <v>587</v>
      </c>
      <c r="B144">
        <v>145</v>
      </c>
      <c r="C144" s="1" t="s">
        <v>29</v>
      </c>
      <c r="D144" s="1" t="s">
        <v>907</v>
      </c>
      <c r="E144" s="1" t="s">
        <v>588</v>
      </c>
      <c r="F144" s="1" t="s">
        <v>589</v>
      </c>
      <c r="G144" s="1" t="s">
        <v>887</v>
      </c>
      <c r="H144" s="1" t="s">
        <v>131</v>
      </c>
      <c r="I144" s="1" t="s">
        <v>55</v>
      </c>
      <c r="J144" s="1"/>
      <c r="K144" s="1"/>
      <c r="L144" s="2">
        <v>46387</v>
      </c>
      <c r="M144" s="1" t="s">
        <v>590</v>
      </c>
      <c r="N144" s="1" t="s">
        <v>56</v>
      </c>
      <c r="O144" s="2">
        <v>45658</v>
      </c>
      <c r="P144" s="1"/>
      <c r="Q144" s="1"/>
      <c r="R144" s="1"/>
    </row>
    <row r="145" spans="1:18" x14ac:dyDescent="0.3">
      <c r="A145" s="1" t="s">
        <v>591</v>
      </c>
      <c r="B145">
        <v>146</v>
      </c>
      <c r="C145" s="1" t="s">
        <v>65</v>
      </c>
      <c r="D145" s="1" t="s">
        <v>907</v>
      </c>
      <c r="E145" s="1" t="s">
        <v>592</v>
      </c>
      <c r="F145" s="1" t="s">
        <v>593</v>
      </c>
      <c r="G145" s="1" t="s">
        <v>882</v>
      </c>
      <c r="H145" s="1" t="s">
        <v>936</v>
      </c>
      <c r="I145" s="1" t="s">
        <v>55</v>
      </c>
      <c r="J145" s="1"/>
      <c r="K145" s="1"/>
      <c r="L145" s="1" t="s">
        <v>46</v>
      </c>
      <c r="M145" s="1" t="s">
        <v>46</v>
      </c>
      <c r="N145" s="1" t="s">
        <v>46</v>
      </c>
      <c r="O145" s="1" t="s">
        <v>46</v>
      </c>
      <c r="P145" s="1"/>
      <c r="Q145" s="1"/>
      <c r="R145" s="1"/>
    </row>
    <row r="146" spans="1:18" x14ac:dyDescent="0.3">
      <c r="A146" s="1" t="s">
        <v>594</v>
      </c>
      <c r="B146">
        <v>147</v>
      </c>
      <c r="C146" s="1" t="s">
        <v>92</v>
      </c>
      <c r="D146" s="1" t="s">
        <v>907</v>
      </c>
      <c r="E146" s="1" t="s">
        <v>595</v>
      </c>
      <c r="F146" s="1" t="s">
        <v>596</v>
      </c>
      <c r="G146" s="1" t="s">
        <v>888</v>
      </c>
      <c r="H146" s="1"/>
      <c r="I146" s="1" t="s">
        <v>35</v>
      </c>
      <c r="J146" s="1"/>
      <c r="K146" s="1"/>
      <c r="L146" s="2">
        <v>44834</v>
      </c>
      <c r="M146" s="1" t="s">
        <v>77</v>
      </c>
      <c r="N146" s="1" t="s">
        <v>310</v>
      </c>
      <c r="O146" s="1" t="s">
        <v>947</v>
      </c>
      <c r="P146" s="1"/>
      <c r="Q146" s="1"/>
      <c r="R146" s="1"/>
    </row>
    <row r="147" spans="1:18" x14ac:dyDescent="0.3">
      <c r="A147" s="1" t="s">
        <v>598</v>
      </c>
      <c r="B147">
        <v>148</v>
      </c>
      <c r="C147" s="1" t="s">
        <v>81</v>
      </c>
      <c r="D147" s="1" t="s">
        <v>907</v>
      </c>
      <c r="E147" s="1" t="s">
        <v>599</v>
      </c>
      <c r="F147" s="1" t="s">
        <v>600</v>
      </c>
      <c r="G147" s="1" t="s">
        <v>210</v>
      </c>
      <c r="H147" s="1" t="s">
        <v>601</v>
      </c>
      <c r="I147" s="1" t="s">
        <v>55</v>
      </c>
      <c r="J147" s="1"/>
      <c r="K147" s="1"/>
      <c r="L147" s="1"/>
      <c r="M147" s="1"/>
      <c r="N147" s="1"/>
      <c r="O147" s="1"/>
      <c r="P147" s="1"/>
      <c r="Q147" s="1"/>
      <c r="R147" s="1"/>
    </row>
    <row r="148" spans="1:18" x14ac:dyDescent="0.3">
      <c r="A148" s="1" t="s">
        <v>602</v>
      </c>
      <c r="B148">
        <v>149</v>
      </c>
      <c r="C148" s="1" t="s">
        <v>29</v>
      </c>
      <c r="D148" s="1" t="s">
        <v>907</v>
      </c>
      <c r="E148" s="1" t="s">
        <v>603</v>
      </c>
      <c r="F148" s="1" t="s">
        <v>604</v>
      </c>
      <c r="G148" s="1" t="s">
        <v>876</v>
      </c>
      <c r="H148" s="1" t="s">
        <v>605</v>
      </c>
      <c r="I148" s="1" t="s">
        <v>35</v>
      </c>
      <c r="J148" s="1"/>
      <c r="K148" s="1"/>
      <c r="L148" s="2">
        <v>46562</v>
      </c>
      <c r="M148" s="1" t="s">
        <v>100</v>
      </c>
      <c r="N148" s="1" t="s">
        <v>56</v>
      </c>
      <c r="O148" s="2">
        <v>46197</v>
      </c>
      <c r="P148" s="1"/>
      <c r="Q148" s="1"/>
      <c r="R148" s="1"/>
    </row>
    <row r="149" spans="1:18" x14ac:dyDescent="0.3">
      <c r="A149" s="1" t="s">
        <v>606</v>
      </c>
      <c r="B149">
        <v>150</v>
      </c>
      <c r="C149" s="1" t="s">
        <v>29</v>
      </c>
      <c r="D149" s="1" t="s">
        <v>891</v>
      </c>
      <c r="E149" s="1" t="s">
        <v>607</v>
      </c>
      <c r="F149" s="1" t="s">
        <v>608</v>
      </c>
      <c r="G149" s="1" t="s">
        <v>876</v>
      </c>
      <c r="H149" s="1" t="s">
        <v>900</v>
      </c>
      <c r="I149" s="1" t="s">
        <v>35</v>
      </c>
      <c r="J149" s="1"/>
      <c r="K149" s="1"/>
      <c r="L149" s="2">
        <v>46173</v>
      </c>
      <c r="M149" s="1" t="s">
        <v>609</v>
      </c>
      <c r="N149" s="1" t="s">
        <v>56</v>
      </c>
      <c r="O149" s="2">
        <v>45809</v>
      </c>
      <c r="P149" s="1"/>
      <c r="Q149" s="1"/>
      <c r="R149" s="1"/>
    </row>
    <row r="150" spans="1:18" x14ac:dyDescent="0.3">
      <c r="A150" s="1" t="s">
        <v>610</v>
      </c>
      <c r="B150">
        <v>151</v>
      </c>
      <c r="C150" s="1" t="s">
        <v>50</v>
      </c>
      <c r="D150" s="1" t="s">
        <v>891</v>
      </c>
      <c r="E150" s="1" t="s">
        <v>611</v>
      </c>
      <c r="F150" s="1" t="s">
        <v>612</v>
      </c>
      <c r="G150" s="1" t="s">
        <v>879</v>
      </c>
      <c r="H150" s="1" t="s">
        <v>897</v>
      </c>
      <c r="I150" s="1" t="s">
        <v>55</v>
      </c>
      <c r="J150" s="1"/>
      <c r="K150" s="1"/>
      <c r="L150" s="1" t="s">
        <v>46</v>
      </c>
      <c r="M150" s="1" t="s">
        <v>46</v>
      </c>
      <c r="N150" s="1" t="s">
        <v>46</v>
      </c>
      <c r="O150" s="1" t="s">
        <v>46</v>
      </c>
      <c r="P150" s="1"/>
      <c r="Q150" s="1"/>
      <c r="R150" s="1"/>
    </row>
    <row r="151" spans="1:18" x14ac:dyDescent="0.3">
      <c r="A151" s="1" t="s">
        <v>613</v>
      </c>
      <c r="B151">
        <v>152</v>
      </c>
      <c r="C151" s="1" t="s">
        <v>29</v>
      </c>
      <c r="D151" s="1" t="s">
        <v>891</v>
      </c>
      <c r="E151" s="1" t="s">
        <v>614</v>
      </c>
      <c r="F151" s="1" t="s">
        <v>615</v>
      </c>
      <c r="G151" s="1" t="s">
        <v>876</v>
      </c>
      <c r="H151" s="1" t="s">
        <v>920</v>
      </c>
      <c r="I151" s="1" t="s">
        <v>35</v>
      </c>
      <c r="J151" s="1"/>
      <c r="K151" s="1"/>
      <c r="L151" s="1" t="s">
        <v>46</v>
      </c>
      <c r="M151" s="1" t="s">
        <v>46</v>
      </c>
      <c r="N151" s="1" t="s">
        <v>46</v>
      </c>
      <c r="O151" s="1" t="s">
        <v>46</v>
      </c>
      <c r="P151" s="1"/>
      <c r="Q151" s="1"/>
      <c r="R151" s="1"/>
    </row>
    <row r="152" spans="1:18" x14ac:dyDescent="0.3">
      <c r="A152" s="1" t="s">
        <v>616</v>
      </c>
      <c r="B152">
        <v>153</v>
      </c>
      <c r="C152" s="1" t="s">
        <v>29</v>
      </c>
      <c r="D152" s="1" t="s">
        <v>907</v>
      </c>
      <c r="E152" s="1" t="s">
        <v>617</v>
      </c>
      <c r="F152" s="1" t="s">
        <v>618</v>
      </c>
      <c r="G152" s="1" t="s">
        <v>876</v>
      </c>
      <c r="H152" s="1" t="s">
        <v>919</v>
      </c>
      <c r="I152" s="1" t="s">
        <v>35</v>
      </c>
      <c r="J152" s="1"/>
      <c r="K152" s="1"/>
      <c r="L152" s="1" t="s">
        <v>46</v>
      </c>
      <c r="M152" s="1" t="s">
        <v>46</v>
      </c>
      <c r="N152" s="1" t="s">
        <v>46</v>
      </c>
      <c r="O152" s="1" t="s">
        <v>46</v>
      </c>
      <c r="P152" s="1"/>
      <c r="Q152" s="1"/>
      <c r="R152" s="1"/>
    </row>
    <row r="153" spans="1:18" x14ac:dyDescent="0.3">
      <c r="A153" s="1" t="s">
        <v>619</v>
      </c>
      <c r="B153">
        <v>154</v>
      </c>
      <c r="C153" s="1" t="s">
        <v>29</v>
      </c>
      <c r="D153" s="1" t="s">
        <v>30</v>
      </c>
      <c r="E153" s="1" t="s">
        <v>620</v>
      </c>
      <c r="F153" s="1" t="s">
        <v>621</v>
      </c>
      <c r="G153" s="1" t="s">
        <v>876</v>
      </c>
      <c r="H153" s="1" t="s">
        <v>622</v>
      </c>
      <c r="I153" s="1" t="s">
        <v>35</v>
      </c>
      <c r="J153" s="1"/>
      <c r="K153" s="1"/>
      <c r="L153" s="1" t="s">
        <v>46</v>
      </c>
      <c r="M153" s="1" t="s">
        <v>46</v>
      </c>
      <c r="N153" s="1" t="s">
        <v>46</v>
      </c>
      <c r="O153" s="1" t="s">
        <v>46</v>
      </c>
      <c r="P153" s="1"/>
      <c r="Q153" s="1"/>
      <c r="R153" s="1"/>
    </row>
    <row r="154" spans="1:18" x14ac:dyDescent="0.3">
      <c r="A154" s="1" t="s">
        <v>623</v>
      </c>
      <c r="B154">
        <v>155</v>
      </c>
      <c r="C154" s="1" t="s">
        <v>29</v>
      </c>
      <c r="D154" s="1" t="s">
        <v>907</v>
      </c>
      <c r="E154" s="1" t="s">
        <v>624</v>
      </c>
      <c r="F154" s="1" t="s">
        <v>625</v>
      </c>
      <c r="G154" s="1" t="s">
        <v>887</v>
      </c>
      <c r="H154" s="1"/>
      <c r="I154" s="1" t="s">
        <v>61</v>
      </c>
      <c r="J154" s="1"/>
      <c r="K154" s="1"/>
      <c r="L154" s="1" t="s">
        <v>46</v>
      </c>
      <c r="M154" s="1" t="s">
        <v>46</v>
      </c>
      <c r="N154" s="1" t="s">
        <v>46</v>
      </c>
      <c r="O154" s="1" t="s">
        <v>46</v>
      </c>
      <c r="P154" s="1"/>
      <c r="Q154" s="1"/>
      <c r="R154" s="1"/>
    </row>
    <row r="155" spans="1:18" x14ac:dyDescent="0.3">
      <c r="A155" s="1" t="s">
        <v>626</v>
      </c>
      <c r="B155">
        <v>156</v>
      </c>
      <c r="C155" s="1" t="s">
        <v>29</v>
      </c>
      <c r="D155" s="1" t="s">
        <v>907</v>
      </c>
      <c r="E155" s="1" t="s">
        <v>627</v>
      </c>
      <c r="F155" s="1" t="s">
        <v>628</v>
      </c>
      <c r="G155" s="1" t="s">
        <v>876</v>
      </c>
      <c r="H155" s="1" t="s">
        <v>919</v>
      </c>
      <c r="I155" s="1" t="s">
        <v>55</v>
      </c>
      <c r="J155" s="1"/>
      <c r="K155" s="1"/>
      <c r="L155" s="2">
        <v>46752</v>
      </c>
      <c r="M155" s="1" t="s">
        <v>575</v>
      </c>
      <c r="N155" s="1" t="s">
        <v>576</v>
      </c>
      <c r="O155" s="2">
        <v>45292</v>
      </c>
      <c r="P155" s="1"/>
      <c r="Q155" s="1"/>
      <c r="R155" s="1"/>
    </row>
    <row r="156" spans="1:18" x14ac:dyDescent="0.3">
      <c r="A156" s="1" t="s">
        <v>629</v>
      </c>
      <c r="B156">
        <v>157</v>
      </c>
      <c r="C156" s="1" t="s">
        <v>29</v>
      </c>
      <c r="D156" s="1" t="s">
        <v>907</v>
      </c>
      <c r="E156" s="1" t="s">
        <v>630</v>
      </c>
      <c r="F156" s="1" t="s">
        <v>631</v>
      </c>
      <c r="G156" s="1" t="s">
        <v>887</v>
      </c>
      <c r="H156" s="1"/>
      <c r="I156" s="1" t="s">
        <v>55</v>
      </c>
      <c r="J156" s="1"/>
      <c r="K156" s="1"/>
      <c r="L156" s="1" t="s">
        <v>46</v>
      </c>
      <c r="M156" s="1" t="s">
        <v>46</v>
      </c>
      <c r="N156" s="1" t="s">
        <v>46</v>
      </c>
      <c r="O156" s="1" t="s">
        <v>46</v>
      </c>
      <c r="P156" s="1"/>
      <c r="Q156" s="1"/>
      <c r="R156" s="1"/>
    </row>
    <row r="157" spans="1:18" x14ac:dyDescent="0.3">
      <c r="A157" s="1" t="s">
        <v>632</v>
      </c>
      <c r="B157">
        <v>158</v>
      </c>
      <c r="C157" s="1" t="s">
        <v>29</v>
      </c>
      <c r="D157" s="1" t="s">
        <v>907</v>
      </c>
      <c r="E157" s="1" t="s">
        <v>633</v>
      </c>
      <c r="F157" s="1" t="s">
        <v>634</v>
      </c>
      <c r="G157" s="1" t="s">
        <v>887</v>
      </c>
      <c r="H157" s="1"/>
      <c r="I157" s="1" t="s">
        <v>35</v>
      </c>
      <c r="J157" s="1"/>
      <c r="K157" s="1"/>
      <c r="L157" s="1" t="s">
        <v>46</v>
      </c>
      <c r="M157" s="1" t="s">
        <v>46</v>
      </c>
      <c r="N157" s="1" t="s">
        <v>46</v>
      </c>
      <c r="O157" s="1" t="s">
        <v>46</v>
      </c>
      <c r="P157" s="1"/>
      <c r="Q157" s="1"/>
      <c r="R157" s="1"/>
    </row>
    <row r="158" spans="1:18" x14ac:dyDescent="0.3">
      <c r="A158" s="1" t="s">
        <v>635</v>
      </c>
      <c r="B158">
        <v>159</v>
      </c>
      <c r="C158" s="1" t="s">
        <v>29</v>
      </c>
      <c r="D158" s="1" t="s">
        <v>907</v>
      </c>
      <c r="E158" s="1" t="s">
        <v>636</v>
      </c>
      <c r="F158" s="1" t="s">
        <v>637</v>
      </c>
      <c r="G158" s="1" t="s">
        <v>876</v>
      </c>
      <c r="H158" s="1" t="s">
        <v>900</v>
      </c>
      <c r="I158" s="1" t="s">
        <v>35</v>
      </c>
      <c r="J158" s="1"/>
      <c r="K158" s="1"/>
      <c r="L158" s="2">
        <v>46551</v>
      </c>
      <c r="M158" s="1" t="s">
        <v>212</v>
      </c>
      <c r="N158" s="1" t="s">
        <v>212</v>
      </c>
      <c r="O158" s="2">
        <v>46187</v>
      </c>
      <c r="P158" s="1"/>
      <c r="Q158" s="1"/>
      <c r="R158" s="1"/>
    </row>
    <row r="159" spans="1:18" x14ac:dyDescent="0.3">
      <c r="A159" s="1" t="s">
        <v>638</v>
      </c>
      <c r="B159">
        <v>160</v>
      </c>
      <c r="C159" s="1" t="s">
        <v>50</v>
      </c>
      <c r="D159" s="1" t="s">
        <v>891</v>
      </c>
      <c r="E159" s="1" t="s">
        <v>639</v>
      </c>
      <c r="F159" s="1" t="s">
        <v>640</v>
      </c>
      <c r="G159" s="1" t="s">
        <v>405</v>
      </c>
      <c r="H159" s="1" t="s">
        <v>935</v>
      </c>
      <c r="I159" s="1" t="s">
        <v>55</v>
      </c>
      <c r="J159" s="1"/>
      <c r="K159" s="1"/>
      <c r="L159" s="1" t="s">
        <v>46</v>
      </c>
      <c r="M159" s="1" t="s">
        <v>46</v>
      </c>
      <c r="N159" s="1" t="s">
        <v>46</v>
      </c>
      <c r="O159" s="1" t="s">
        <v>46</v>
      </c>
      <c r="P159" s="1"/>
      <c r="Q159" s="1"/>
      <c r="R159" s="1"/>
    </row>
    <row r="160" spans="1:18" x14ac:dyDescent="0.3">
      <c r="A160" s="1" t="s">
        <v>641</v>
      </c>
      <c r="B160">
        <v>161</v>
      </c>
      <c r="C160" s="1" t="s">
        <v>29</v>
      </c>
      <c r="D160" s="1" t="s">
        <v>907</v>
      </c>
      <c r="E160" s="1" t="s">
        <v>642</v>
      </c>
      <c r="F160" s="1" t="s">
        <v>643</v>
      </c>
      <c r="G160" s="1" t="s">
        <v>887</v>
      </c>
      <c r="H160" s="1"/>
      <c r="I160" s="1" t="s">
        <v>35</v>
      </c>
      <c r="J160" s="1"/>
      <c r="K160" s="1"/>
      <c r="L160" s="1" t="s">
        <v>46</v>
      </c>
      <c r="M160" s="1" t="s">
        <v>46</v>
      </c>
      <c r="N160" s="1" t="s">
        <v>46</v>
      </c>
      <c r="O160" s="1" t="s">
        <v>46</v>
      </c>
      <c r="P160" s="1"/>
      <c r="Q160" s="1"/>
      <c r="R160" s="1"/>
    </row>
    <row r="161" spans="1:18" x14ac:dyDescent="0.3">
      <c r="A161" s="1" t="s">
        <v>644</v>
      </c>
      <c r="B161">
        <v>162</v>
      </c>
      <c r="C161" s="1" t="s">
        <v>65</v>
      </c>
      <c r="D161" s="1" t="s">
        <v>931</v>
      </c>
      <c r="E161" s="1" t="s">
        <v>645</v>
      </c>
      <c r="F161" s="1" t="s">
        <v>646</v>
      </c>
      <c r="G161" s="1" t="s">
        <v>915</v>
      </c>
      <c r="H161" s="1" t="s">
        <v>259</v>
      </c>
      <c r="I161" s="1" t="s">
        <v>55</v>
      </c>
      <c r="J161" s="1"/>
      <c r="K161" s="1"/>
      <c r="L161" s="2">
        <v>46873</v>
      </c>
      <c r="M161" s="1" t="s">
        <v>77</v>
      </c>
      <c r="N161" s="1" t="s">
        <v>56</v>
      </c>
      <c r="O161" s="2">
        <v>46143</v>
      </c>
      <c r="P161" s="1"/>
      <c r="Q161" s="1"/>
      <c r="R161" s="1"/>
    </row>
    <row r="162" spans="1:18" x14ac:dyDescent="0.3">
      <c r="A162" s="1" t="s">
        <v>647</v>
      </c>
      <c r="B162">
        <v>163</v>
      </c>
      <c r="C162" s="1" t="s">
        <v>65</v>
      </c>
      <c r="D162" s="1" t="s">
        <v>875</v>
      </c>
      <c r="E162" s="1" t="s">
        <v>648</v>
      </c>
      <c r="F162" s="1" t="s">
        <v>649</v>
      </c>
      <c r="G162" s="1" t="s">
        <v>892</v>
      </c>
      <c r="H162" s="1" t="s">
        <v>893</v>
      </c>
      <c r="I162" s="1" t="s">
        <v>55</v>
      </c>
      <c r="J162" s="1"/>
      <c r="K162" s="1"/>
      <c r="L162" s="1" t="s">
        <v>46</v>
      </c>
      <c r="M162" s="1" t="s">
        <v>46</v>
      </c>
      <c r="N162" s="1" t="s">
        <v>46</v>
      </c>
      <c r="O162" s="1" t="s">
        <v>46</v>
      </c>
      <c r="P162" s="1"/>
      <c r="Q162" s="1"/>
      <c r="R162" s="1"/>
    </row>
    <row r="163" spans="1:18" x14ac:dyDescent="0.3">
      <c r="A163" s="1" t="s">
        <v>650</v>
      </c>
      <c r="B163">
        <v>164</v>
      </c>
      <c r="C163" s="1" t="s">
        <v>65</v>
      </c>
      <c r="D163" s="1" t="s">
        <v>907</v>
      </c>
      <c r="E163" s="1" t="s">
        <v>651</v>
      </c>
      <c r="F163" s="1" t="s">
        <v>652</v>
      </c>
      <c r="G163" s="1" t="s">
        <v>882</v>
      </c>
      <c r="H163" s="1" t="s">
        <v>936</v>
      </c>
      <c r="I163" s="1" t="s">
        <v>55</v>
      </c>
      <c r="J163" s="1"/>
      <c r="K163" s="1"/>
      <c r="L163" s="2">
        <v>44957</v>
      </c>
      <c r="M163" s="1" t="s">
        <v>77</v>
      </c>
      <c r="N163" s="1" t="s">
        <v>653</v>
      </c>
      <c r="O163" s="2">
        <v>44523</v>
      </c>
      <c r="P163" s="1"/>
      <c r="Q163" s="1"/>
      <c r="R163" s="1"/>
    </row>
    <row r="164" spans="1:18" x14ac:dyDescent="0.3">
      <c r="A164" s="1" t="s">
        <v>654</v>
      </c>
      <c r="B164">
        <v>165</v>
      </c>
      <c r="C164" s="1" t="s">
        <v>81</v>
      </c>
      <c r="D164" s="1" t="s">
        <v>907</v>
      </c>
      <c r="E164" s="1" t="s">
        <v>655</v>
      </c>
      <c r="F164" s="1" t="s">
        <v>656</v>
      </c>
      <c r="G164" s="1" t="s">
        <v>210</v>
      </c>
      <c r="H164" s="1" t="s">
        <v>601</v>
      </c>
      <c r="I164" s="1" t="s">
        <v>55</v>
      </c>
      <c r="J164" s="1"/>
      <c r="K164" s="1"/>
      <c r="L164" s="1"/>
      <c r="M164" s="1"/>
      <c r="N164" s="1"/>
      <c r="O164" s="1"/>
      <c r="P164" s="1"/>
      <c r="Q164" s="1"/>
      <c r="R164" s="1"/>
    </row>
    <row r="165" spans="1:18" x14ac:dyDescent="0.3">
      <c r="A165" s="1" t="s">
        <v>657</v>
      </c>
      <c r="B165">
        <v>166</v>
      </c>
      <c r="C165" s="1" t="s">
        <v>65</v>
      </c>
      <c r="D165" s="1" t="s">
        <v>875</v>
      </c>
      <c r="E165" s="1" t="s">
        <v>948</v>
      </c>
      <c r="F165" s="1" t="s">
        <v>949</v>
      </c>
      <c r="G165" s="1" t="s">
        <v>892</v>
      </c>
      <c r="H165" s="1" t="s">
        <v>936</v>
      </c>
      <c r="I165" s="1" t="s">
        <v>912</v>
      </c>
      <c r="J165" s="1"/>
      <c r="K165" s="1"/>
      <c r="L165" s="2">
        <v>46752</v>
      </c>
      <c r="M165" s="1" t="s">
        <v>575</v>
      </c>
      <c r="N165" s="1" t="s">
        <v>576</v>
      </c>
      <c r="O165" s="2">
        <v>45292</v>
      </c>
      <c r="P165" s="1"/>
      <c r="Q165" s="1"/>
      <c r="R165" s="1"/>
    </row>
    <row r="166" spans="1:18" x14ac:dyDescent="0.3">
      <c r="A166" s="1" t="s">
        <v>660</v>
      </c>
      <c r="B166">
        <v>167</v>
      </c>
      <c r="C166" s="1" t="s">
        <v>65</v>
      </c>
      <c r="D166" s="1" t="s">
        <v>907</v>
      </c>
      <c r="E166" s="1" t="s">
        <v>661</v>
      </c>
      <c r="F166" s="1" t="s">
        <v>662</v>
      </c>
      <c r="G166" s="1" t="s">
        <v>901</v>
      </c>
      <c r="H166" s="1" t="s">
        <v>158</v>
      </c>
      <c r="I166" s="1" t="s">
        <v>55</v>
      </c>
      <c r="J166" s="1"/>
      <c r="K166" s="1"/>
      <c r="L166" s="2">
        <v>46752</v>
      </c>
      <c r="M166" s="1" t="s">
        <v>575</v>
      </c>
      <c r="N166" s="1" t="s">
        <v>576</v>
      </c>
      <c r="O166" s="2">
        <v>45292</v>
      </c>
      <c r="P166" s="1"/>
      <c r="Q166" s="1"/>
      <c r="R166" s="1"/>
    </row>
    <row r="167" spans="1:18" x14ac:dyDescent="0.3">
      <c r="A167" s="1" t="s">
        <v>663</v>
      </c>
      <c r="B167">
        <v>168</v>
      </c>
      <c r="C167" s="1" t="s">
        <v>50</v>
      </c>
      <c r="D167" s="1" t="s">
        <v>891</v>
      </c>
      <c r="E167" s="1" t="s">
        <v>664</v>
      </c>
      <c r="F167" s="1" t="s">
        <v>665</v>
      </c>
      <c r="G167" s="1" t="s">
        <v>879</v>
      </c>
      <c r="H167" s="1" t="s">
        <v>940</v>
      </c>
      <c r="I167" s="1" t="s">
        <v>55</v>
      </c>
      <c r="J167" s="1"/>
      <c r="K167" s="1"/>
      <c r="L167" s="2">
        <v>46752</v>
      </c>
      <c r="M167" s="1" t="s">
        <v>77</v>
      </c>
      <c r="N167" s="1" t="s">
        <v>71</v>
      </c>
      <c r="O167" s="2">
        <v>45299</v>
      </c>
      <c r="P167" s="1"/>
      <c r="Q167" s="1"/>
      <c r="R167" s="1"/>
    </row>
    <row r="168" spans="1:18" x14ac:dyDescent="0.3">
      <c r="A168" s="1" t="s">
        <v>666</v>
      </c>
      <c r="B168">
        <v>169</v>
      </c>
      <c r="C168" s="1" t="s">
        <v>81</v>
      </c>
      <c r="D168" s="1" t="s">
        <v>907</v>
      </c>
      <c r="E168" s="1" t="s">
        <v>667</v>
      </c>
      <c r="F168" s="1" t="s">
        <v>668</v>
      </c>
      <c r="G168" s="1" t="s">
        <v>210</v>
      </c>
      <c r="H168" s="1" t="s">
        <v>669</v>
      </c>
      <c r="I168" s="1" t="s">
        <v>55</v>
      </c>
      <c r="J168" s="1"/>
      <c r="K168" s="1"/>
      <c r="L168" s="2">
        <v>46873</v>
      </c>
      <c r="M168" s="1" t="s">
        <v>77</v>
      </c>
      <c r="N168" s="1" t="s">
        <v>101</v>
      </c>
      <c r="O168" s="2">
        <v>45566</v>
      </c>
      <c r="P168" s="1"/>
      <c r="Q168" s="1"/>
      <c r="R168" s="1"/>
    </row>
    <row r="169" spans="1:18" x14ac:dyDescent="0.3">
      <c r="A169" s="1" t="s">
        <v>670</v>
      </c>
      <c r="B169">
        <v>170</v>
      </c>
      <c r="C169" s="1" t="s">
        <v>65</v>
      </c>
      <c r="D169" s="1" t="s">
        <v>891</v>
      </c>
      <c r="E169" s="1" t="s">
        <v>671</v>
      </c>
      <c r="F169" s="1" t="s">
        <v>672</v>
      </c>
      <c r="G169" s="1" t="s">
        <v>901</v>
      </c>
      <c r="H169" s="1" t="s">
        <v>950</v>
      </c>
      <c r="I169" s="1" t="s">
        <v>55</v>
      </c>
      <c r="J169" s="1"/>
      <c r="K169" s="1"/>
      <c r="L169" s="1" t="s">
        <v>46</v>
      </c>
      <c r="M169" s="1" t="s">
        <v>46</v>
      </c>
      <c r="N169" s="1" t="s">
        <v>46</v>
      </c>
      <c r="O169" s="1" t="s">
        <v>46</v>
      </c>
      <c r="P169" s="1"/>
      <c r="Q169" s="1"/>
      <c r="R169" s="1"/>
    </row>
    <row r="170" spans="1:18" x14ac:dyDescent="0.3">
      <c r="A170" s="1" t="s">
        <v>674</v>
      </c>
      <c r="B170">
        <v>171</v>
      </c>
      <c r="C170" s="1" t="s">
        <v>103</v>
      </c>
      <c r="D170" s="1" t="s">
        <v>907</v>
      </c>
      <c r="E170" s="1" t="s">
        <v>675</v>
      </c>
      <c r="F170" s="1" t="s">
        <v>676</v>
      </c>
      <c r="G170" s="1" t="s">
        <v>107</v>
      </c>
      <c r="H170" s="1"/>
      <c r="I170" s="1" t="s">
        <v>35</v>
      </c>
      <c r="J170" s="1"/>
      <c r="K170" s="1"/>
      <c r="L170" s="1" t="s">
        <v>46</v>
      </c>
      <c r="M170" s="1" t="s">
        <v>46</v>
      </c>
      <c r="N170" s="1" t="s">
        <v>46</v>
      </c>
      <c r="O170" s="1" t="s">
        <v>46</v>
      </c>
      <c r="P170" s="1"/>
      <c r="Q170" s="1"/>
      <c r="R170" s="1"/>
    </row>
    <row r="171" spans="1:18" x14ac:dyDescent="0.3">
      <c r="A171" s="1" t="s">
        <v>677</v>
      </c>
      <c r="B171">
        <v>172</v>
      </c>
      <c r="C171" s="1" t="s">
        <v>50</v>
      </c>
      <c r="D171" s="1" t="s">
        <v>891</v>
      </c>
      <c r="E171" s="1" t="s">
        <v>678</v>
      </c>
      <c r="F171" s="1" t="s">
        <v>679</v>
      </c>
      <c r="G171" s="1" t="s">
        <v>879</v>
      </c>
      <c r="H171" s="1" t="s">
        <v>897</v>
      </c>
      <c r="I171" s="1" t="s">
        <v>55</v>
      </c>
      <c r="J171" s="1"/>
      <c r="K171" s="1" t="s">
        <v>680</v>
      </c>
      <c r="L171" s="2">
        <v>46752</v>
      </c>
      <c r="M171" s="1" t="s">
        <v>77</v>
      </c>
      <c r="N171" s="1" t="s">
        <v>71</v>
      </c>
      <c r="O171" s="2">
        <v>45299</v>
      </c>
      <c r="P171" s="1"/>
      <c r="Q171" s="1"/>
      <c r="R171" s="1"/>
    </row>
    <row r="172" spans="1:18" x14ac:dyDescent="0.3">
      <c r="A172" s="1" t="s">
        <v>681</v>
      </c>
      <c r="B172">
        <v>173</v>
      </c>
      <c r="C172" s="1" t="s">
        <v>65</v>
      </c>
      <c r="D172" s="1" t="s">
        <v>875</v>
      </c>
      <c r="E172" s="1" t="s">
        <v>682</v>
      </c>
      <c r="F172" s="1" t="s">
        <v>683</v>
      </c>
      <c r="G172" s="1" t="s">
        <v>892</v>
      </c>
      <c r="H172" s="1" t="s">
        <v>893</v>
      </c>
      <c r="I172" s="1" t="s">
        <v>55</v>
      </c>
      <c r="J172" s="1"/>
      <c r="K172" s="1"/>
      <c r="L172" s="2">
        <v>46174</v>
      </c>
      <c r="M172" s="1" t="s">
        <v>77</v>
      </c>
      <c r="N172" s="1" t="s">
        <v>71</v>
      </c>
      <c r="O172" s="2">
        <v>44621</v>
      </c>
      <c r="P172" s="1"/>
      <c r="Q172" s="1"/>
      <c r="R172" s="1"/>
    </row>
    <row r="173" spans="1:18" x14ac:dyDescent="0.3">
      <c r="A173" s="1" t="s">
        <v>684</v>
      </c>
      <c r="B173">
        <v>174</v>
      </c>
      <c r="C173" s="1" t="s">
        <v>29</v>
      </c>
      <c r="D173" s="1" t="s">
        <v>907</v>
      </c>
      <c r="E173" s="1" t="s">
        <v>685</v>
      </c>
      <c r="F173" s="1" t="s">
        <v>686</v>
      </c>
      <c r="G173" s="1" t="s">
        <v>876</v>
      </c>
      <c r="H173" s="1" t="s">
        <v>937</v>
      </c>
      <c r="I173" s="1" t="s">
        <v>55</v>
      </c>
      <c r="J173" s="1"/>
      <c r="K173" s="1"/>
      <c r="L173" s="1" t="s">
        <v>951</v>
      </c>
      <c r="M173" s="1"/>
      <c r="N173" s="1"/>
      <c r="O173" s="1"/>
      <c r="P173" s="1"/>
      <c r="Q173" s="1"/>
      <c r="R173" s="1"/>
    </row>
    <row r="174" spans="1:18" x14ac:dyDescent="0.3">
      <c r="A174" s="1" t="s">
        <v>688</v>
      </c>
      <c r="B174">
        <v>175</v>
      </c>
      <c r="C174" s="1" t="s">
        <v>29</v>
      </c>
      <c r="D174" s="1" t="s">
        <v>907</v>
      </c>
      <c r="E174" s="1" t="s">
        <v>689</v>
      </c>
      <c r="F174" s="1" t="s">
        <v>690</v>
      </c>
      <c r="G174" s="1" t="s">
        <v>876</v>
      </c>
      <c r="H174" s="1" t="s">
        <v>919</v>
      </c>
      <c r="I174" s="1" t="s">
        <v>35</v>
      </c>
      <c r="J174" s="1"/>
      <c r="K174" s="1"/>
      <c r="L174" s="1"/>
      <c r="M174" s="1"/>
      <c r="N174" s="1"/>
      <c r="O174" s="1"/>
      <c r="P174" s="1"/>
      <c r="Q174" s="1"/>
      <c r="R174" s="1"/>
    </row>
    <row r="175" spans="1:18" x14ac:dyDescent="0.3">
      <c r="A175" s="1" t="s">
        <v>691</v>
      </c>
      <c r="B175">
        <v>176</v>
      </c>
      <c r="C175" s="1" t="s">
        <v>29</v>
      </c>
      <c r="D175" s="1" t="s">
        <v>891</v>
      </c>
      <c r="E175" s="1" t="s">
        <v>692</v>
      </c>
      <c r="F175" s="1" t="s">
        <v>693</v>
      </c>
      <c r="G175" s="1" t="s">
        <v>876</v>
      </c>
      <c r="H175" s="1" t="s">
        <v>920</v>
      </c>
      <c r="I175" s="1" t="s">
        <v>35</v>
      </c>
      <c r="J175" s="1"/>
      <c r="K175" s="1"/>
      <c r="L175" s="1" t="s">
        <v>46</v>
      </c>
      <c r="M175" s="1" t="s">
        <v>46</v>
      </c>
      <c r="N175" s="1" t="s">
        <v>46</v>
      </c>
      <c r="O175" s="1" t="s">
        <v>46</v>
      </c>
      <c r="P175" s="1"/>
      <c r="Q175" s="1"/>
      <c r="R175" s="1"/>
    </row>
    <row r="176" spans="1:18" x14ac:dyDescent="0.3">
      <c r="A176" s="1" t="s">
        <v>694</v>
      </c>
      <c r="B176">
        <v>177</v>
      </c>
      <c r="C176" s="1" t="s">
        <v>50</v>
      </c>
      <c r="D176" s="1" t="s">
        <v>891</v>
      </c>
      <c r="E176" s="1" t="s">
        <v>695</v>
      </c>
      <c r="F176" s="1" t="s">
        <v>696</v>
      </c>
      <c r="G176" s="1" t="s">
        <v>405</v>
      </c>
      <c r="H176" s="1" t="s">
        <v>935</v>
      </c>
      <c r="I176" s="1" t="s">
        <v>55</v>
      </c>
      <c r="J176" s="1"/>
      <c r="K176" s="1"/>
      <c r="L176" s="2">
        <v>46387</v>
      </c>
      <c r="M176" s="1" t="s">
        <v>77</v>
      </c>
      <c r="N176" s="1" t="s">
        <v>101</v>
      </c>
      <c r="O176" s="2">
        <v>43867</v>
      </c>
      <c r="P176" s="1"/>
      <c r="Q176" s="1"/>
      <c r="R176" s="1"/>
    </row>
    <row r="177" spans="1:18" x14ac:dyDescent="0.3">
      <c r="A177" s="1" t="s">
        <v>697</v>
      </c>
      <c r="B177">
        <v>178</v>
      </c>
      <c r="C177" s="1" t="s">
        <v>50</v>
      </c>
      <c r="D177" s="1" t="s">
        <v>891</v>
      </c>
      <c r="E177" s="1" t="s">
        <v>698</v>
      </c>
      <c r="F177" s="1" t="s">
        <v>699</v>
      </c>
      <c r="G177" s="1" t="s">
        <v>879</v>
      </c>
      <c r="H177" s="1" t="s">
        <v>940</v>
      </c>
      <c r="I177" s="1" t="s">
        <v>55</v>
      </c>
      <c r="J177" s="1"/>
      <c r="K177" s="1"/>
      <c r="L177" s="1" t="s">
        <v>700</v>
      </c>
      <c r="M177" s="1" t="s">
        <v>193</v>
      </c>
      <c r="N177" s="1" t="s">
        <v>71</v>
      </c>
      <c r="O177" s="2">
        <v>44637</v>
      </c>
      <c r="P177" s="1"/>
      <c r="Q177" s="1"/>
      <c r="R177" s="1"/>
    </row>
    <row r="178" spans="1:18" x14ac:dyDescent="0.3">
      <c r="A178" s="1" t="s">
        <v>702</v>
      </c>
      <c r="B178">
        <v>179</v>
      </c>
      <c r="C178" s="1" t="s">
        <v>65</v>
      </c>
      <c r="D178" s="1" t="s">
        <v>907</v>
      </c>
      <c r="E178" s="1" t="s">
        <v>703</v>
      </c>
      <c r="F178" s="1" t="s">
        <v>952</v>
      </c>
      <c r="G178" s="1" t="s">
        <v>882</v>
      </c>
      <c r="H178" s="1" t="s">
        <v>936</v>
      </c>
      <c r="I178" s="1" t="s">
        <v>55</v>
      </c>
      <c r="J178" s="1"/>
      <c r="K178" s="1"/>
      <c r="L178" s="1" t="s">
        <v>46</v>
      </c>
      <c r="M178" s="1" t="s">
        <v>46</v>
      </c>
      <c r="N178" s="1" t="s">
        <v>46</v>
      </c>
      <c r="O178" s="1" t="s">
        <v>46</v>
      </c>
      <c r="P178" s="1"/>
      <c r="Q178" s="1"/>
      <c r="R178" s="1"/>
    </row>
    <row r="179" spans="1:18" x14ac:dyDescent="0.3">
      <c r="A179" s="1" t="s">
        <v>705</v>
      </c>
      <c r="B179">
        <v>180</v>
      </c>
      <c r="C179" s="1" t="s">
        <v>120</v>
      </c>
      <c r="D179" s="1" t="s">
        <v>875</v>
      </c>
      <c r="E179" s="1" t="s">
        <v>706</v>
      </c>
      <c r="F179" s="1" t="s">
        <v>707</v>
      </c>
      <c r="G179" s="1" t="s">
        <v>896</v>
      </c>
      <c r="H179" s="1" t="s">
        <v>896</v>
      </c>
      <c r="I179" s="1" t="s">
        <v>55</v>
      </c>
      <c r="J179" s="1"/>
      <c r="K179" s="1"/>
      <c r="L179" s="1" t="s">
        <v>78</v>
      </c>
      <c r="M179" s="1" t="s">
        <v>77</v>
      </c>
      <c r="N179" s="1" t="s">
        <v>56</v>
      </c>
      <c r="O179" s="2">
        <v>43368</v>
      </c>
      <c r="P179" s="1"/>
      <c r="Q179" s="1"/>
      <c r="R179" s="1"/>
    </row>
    <row r="180" spans="1:18" x14ac:dyDescent="0.3">
      <c r="A180" s="1" t="s">
        <v>708</v>
      </c>
      <c r="B180">
        <v>181</v>
      </c>
      <c r="C180" s="1" t="s">
        <v>50</v>
      </c>
      <c r="D180" s="1" t="s">
        <v>875</v>
      </c>
      <c r="E180" s="1" t="s">
        <v>709</v>
      </c>
      <c r="F180" s="1" t="s">
        <v>710</v>
      </c>
      <c r="G180" s="1" t="s">
        <v>879</v>
      </c>
      <c r="H180" s="1" t="s">
        <v>897</v>
      </c>
      <c r="I180" s="1" t="s">
        <v>55</v>
      </c>
      <c r="J180" s="1"/>
      <c r="K180" s="1"/>
      <c r="L180" s="1" t="s">
        <v>78</v>
      </c>
      <c r="M180" s="1" t="s">
        <v>77</v>
      </c>
      <c r="N180" s="1" t="s">
        <v>310</v>
      </c>
      <c r="O180" s="2">
        <v>43872</v>
      </c>
      <c r="P180" s="1"/>
      <c r="Q180" s="1"/>
      <c r="R180" s="1"/>
    </row>
    <row r="181" spans="1:18" x14ac:dyDescent="0.3">
      <c r="A181" s="1" t="s">
        <v>711</v>
      </c>
      <c r="B181">
        <v>182</v>
      </c>
      <c r="C181" s="1" t="s">
        <v>120</v>
      </c>
      <c r="D181" s="1" t="s">
        <v>875</v>
      </c>
      <c r="E181" s="1" t="s">
        <v>712</v>
      </c>
      <c r="F181" s="1" t="s">
        <v>713</v>
      </c>
      <c r="G181" s="1" t="s">
        <v>896</v>
      </c>
      <c r="H181" s="1" t="s">
        <v>127</v>
      </c>
      <c r="I181" s="1" t="s">
        <v>55</v>
      </c>
      <c r="J181" s="1"/>
      <c r="K181" s="1"/>
      <c r="L181" s="2">
        <v>46752</v>
      </c>
      <c r="M181" s="1" t="s">
        <v>77</v>
      </c>
      <c r="N181" s="1" t="s">
        <v>56</v>
      </c>
      <c r="O181" s="2">
        <v>46023</v>
      </c>
      <c r="P181" s="1"/>
      <c r="Q181" s="1"/>
      <c r="R181" s="1"/>
    </row>
    <row r="182" spans="1:18" x14ac:dyDescent="0.3">
      <c r="A182" s="1" t="s">
        <v>714</v>
      </c>
      <c r="B182">
        <v>183</v>
      </c>
      <c r="C182" s="1" t="s">
        <v>953</v>
      </c>
      <c r="D182" s="1" t="s">
        <v>875</v>
      </c>
      <c r="E182" s="1" t="s">
        <v>715</v>
      </c>
      <c r="F182" s="1" t="s">
        <v>716</v>
      </c>
      <c r="G182" s="1" t="s">
        <v>210</v>
      </c>
      <c r="H182" s="1" t="s">
        <v>601</v>
      </c>
      <c r="I182" s="1" t="s">
        <v>55</v>
      </c>
      <c r="J182" s="1"/>
      <c r="K182" s="1"/>
      <c r="L182" s="2">
        <v>46752</v>
      </c>
      <c r="M182" s="1" t="s">
        <v>575</v>
      </c>
      <c r="N182" s="1" t="s">
        <v>576</v>
      </c>
      <c r="O182" s="2">
        <v>45292</v>
      </c>
      <c r="P182" s="1"/>
      <c r="Q182" s="1"/>
      <c r="R182" s="1"/>
    </row>
    <row r="183" spans="1:18" x14ac:dyDescent="0.3">
      <c r="A183" s="1" t="s">
        <v>717</v>
      </c>
      <c r="B183">
        <v>184</v>
      </c>
      <c r="C183" s="1" t="s">
        <v>29</v>
      </c>
      <c r="D183" s="1" t="s">
        <v>875</v>
      </c>
      <c r="E183" s="1" t="s">
        <v>718</v>
      </c>
      <c r="F183" s="1" t="s">
        <v>719</v>
      </c>
      <c r="G183" s="1" t="s">
        <v>876</v>
      </c>
      <c r="H183" s="1" t="s">
        <v>898</v>
      </c>
      <c r="I183" s="1" t="s">
        <v>35</v>
      </c>
      <c r="J183" s="1"/>
      <c r="K183" s="1"/>
      <c r="L183" s="1" t="s">
        <v>46</v>
      </c>
      <c r="M183" s="1" t="s">
        <v>46</v>
      </c>
      <c r="N183" s="1" t="s">
        <v>46</v>
      </c>
      <c r="O183" s="1" t="s">
        <v>46</v>
      </c>
      <c r="P183" s="1"/>
      <c r="Q183" s="1"/>
      <c r="R183" s="1"/>
    </row>
    <row r="184" spans="1:18" x14ac:dyDescent="0.3">
      <c r="A184" s="1" t="s">
        <v>720</v>
      </c>
      <c r="B184">
        <v>185</v>
      </c>
      <c r="C184" s="1" t="s">
        <v>99</v>
      </c>
      <c r="D184" s="1" t="s">
        <v>875</v>
      </c>
      <c r="E184" s="1" t="s">
        <v>722</v>
      </c>
      <c r="F184" s="1"/>
      <c r="G184" s="1"/>
      <c r="H184" s="1"/>
      <c r="I184" s="1" t="s">
        <v>35</v>
      </c>
      <c r="J184" s="1"/>
      <c r="K184" s="1"/>
      <c r="L184" s="1" t="s">
        <v>46</v>
      </c>
      <c r="M184" s="1" t="s">
        <v>46</v>
      </c>
      <c r="N184" s="1" t="s">
        <v>46</v>
      </c>
      <c r="O184" s="1" t="s">
        <v>37</v>
      </c>
      <c r="P184" s="1" t="s">
        <v>725</v>
      </c>
      <c r="Q184" s="1" t="s">
        <v>954</v>
      </c>
      <c r="R184" s="1" t="s">
        <v>727</v>
      </c>
    </row>
    <row r="185" spans="1:18" x14ac:dyDescent="0.3">
      <c r="A185" s="1" t="s">
        <v>728</v>
      </c>
      <c r="B185">
        <v>186</v>
      </c>
      <c r="C185" s="1" t="s">
        <v>99</v>
      </c>
      <c r="D185" s="1" t="s">
        <v>875</v>
      </c>
      <c r="E185" s="1" t="s">
        <v>729</v>
      </c>
      <c r="F185" s="1"/>
      <c r="G185" s="1"/>
      <c r="H185" s="1"/>
      <c r="I185" s="1" t="s">
        <v>730</v>
      </c>
      <c r="J185" s="1"/>
      <c r="K185" s="1"/>
      <c r="L185" s="1" t="s">
        <v>731</v>
      </c>
      <c r="M185" s="1" t="s">
        <v>37</v>
      </c>
      <c r="N185" s="1" t="s">
        <v>37</v>
      </c>
      <c r="O185" s="1" t="s">
        <v>37</v>
      </c>
      <c r="P185" s="1" t="s">
        <v>733</v>
      </c>
      <c r="Q185" s="1" t="s">
        <v>954</v>
      </c>
      <c r="R185" s="1" t="s">
        <v>727</v>
      </c>
    </row>
    <row r="186" spans="1:18" x14ac:dyDescent="0.3">
      <c r="A186" s="1" t="s">
        <v>734</v>
      </c>
      <c r="B186">
        <v>187</v>
      </c>
      <c r="C186" s="1" t="s">
        <v>99</v>
      </c>
      <c r="D186" s="1" t="s">
        <v>875</v>
      </c>
      <c r="E186" s="1" t="s">
        <v>735</v>
      </c>
      <c r="F186" s="1"/>
      <c r="G186" s="1"/>
      <c r="H186" s="1"/>
      <c r="I186" s="1" t="s">
        <v>730</v>
      </c>
      <c r="J186" s="1"/>
      <c r="K186" s="1"/>
      <c r="L186" s="2">
        <v>45838</v>
      </c>
      <c r="M186" s="1" t="s">
        <v>37</v>
      </c>
      <c r="N186" s="1" t="s">
        <v>37</v>
      </c>
      <c r="O186" s="1" t="s">
        <v>37</v>
      </c>
      <c r="P186" s="1" t="s">
        <v>737</v>
      </c>
      <c r="Q186" s="1" t="s">
        <v>955</v>
      </c>
      <c r="R186" s="1" t="s">
        <v>727</v>
      </c>
    </row>
    <row r="187" spans="1:18" x14ac:dyDescent="0.3">
      <c r="A187" s="1" t="s">
        <v>739</v>
      </c>
      <c r="B187">
        <v>188</v>
      </c>
      <c r="C187" s="1" t="s">
        <v>99</v>
      </c>
      <c r="D187" s="1" t="s">
        <v>875</v>
      </c>
      <c r="E187" s="1" t="s">
        <v>740</v>
      </c>
      <c r="F187" s="1"/>
      <c r="G187" s="1"/>
      <c r="H187" s="1"/>
      <c r="I187" s="1" t="s">
        <v>61</v>
      </c>
      <c r="J187" s="1"/>
      <c r="K187" s="1"/>
      <c r="L187" s="1" t="s">
        <v>46</v>
      </c>
      <c r="M187" s="1" t="s">
        <v>46</v>
      </c>
      <c r="N187" s="1" t="s">
        <v>46</v>
      </c>
      <c r="O187" s="1" t="s">
        <v>37</v>
      </c>
      <c r="P187" s="1" t="s">
        <v>741</v>
      </c>
      <c r="Q187" s="1" t="s">
        <v>955</v>
      </c>
      <c r="R187" s="1" t="s">
        <v>727</v>
      </c>
    </row>
    <row r="188" spans="1:18" x14ac:dyDescent="0.3">
      <c r="A188" s="1" t="s">
        <v>742</v>
      </c>
      <c r="B188">
        <v>189</v>
      </c>
      <c r="C188" s="1" t="s">
        <v>99</v>
      </c>
      <c r="D188" s="1" t="s">
        <v>875</v>
      </c>
      <c r="E188" s="1" t="s">
        <v>743</v>
      </c>
      <c r="F188" s="1"/>
      <c r="G188" s="1"/>
      <c r="H188" s="1"/>
      <c r="I188" s="1" t="s">
        <v>61</v>
      </c>
      <c r="J188" s="1"/>
      <c r="K188" s="1"/>
      <c r="L188" s="1" t="s">
        <v>37</v>
      </c>
      <c r="M188" s="1" t="s">
        <v>37</v>
      </c>
      <c r="N188" s="1" t="s">
        <v>37</v>
      </c>
      <c r="O188" s="1" t="s">
        <v>37</v>
      </c>
      <c r="P188" s="1" t="s">
        <v>745</v>
      </c>
      <c r="Q188" s="1" t="s">
        <v>954</v>
      </c>
      <c r="R188" s="1" t="s">
        <v>727</v>
      </c>
    </row>
    <row r="189" spans="1:18" x14ac:dyDescent="0.3">
      <c r="A189" s="1" t="s">
        <v>746</v>
      </c>
      <c r="B189">
        <v>190</v>
      </c>
      <c r="C189" s="1" t="s">
        <v>99</v>
      </c>
      <c r="D189" s="1" t="s">
        <v>875</v>
      </c>
      <c r="E189" s="1" t="s">
        <v>747</v>
      </c>
      <c r="F189" s="1"/>
      <c r="G189" s="1"/>
      <c r="H189" s="1"/>
      <c r="I189" s="1" t="s">
        <v>730</v>
      </c>
      <c r="J189" s="1"/>
      <c r="K189" s="1"/>
      <c r="L189" s="1" t="s">
        <v>956</v>
      </c>
      <c r="M189" s="1" t="s">
        <v>37</v>
      </c>
      <c r="N189" s="1" t="s">
        <v>37</v>
      </c>
      <c r="O189" s="1" t="s">
        <v>37</v>
      </c>
      <c r="P189" s="1" t="s">
        <v>749</v>
      </c>
      <c r="Q189" s="1" t="s">
        <v>957</v>
      </c>
      <c r="R189" s="1" t="s">
        <v>727</v>
      </c>
    </row>
    <row r="190" spans="1:18" x14ac:dyDescent="0.3">
      <c r="A190" s="1" t="s">
        <v>751</v>
      </c>
      <c r="B190">
        <v>191</v>
      </c>
      <c r="C190" s="1" t="s">
        <v>99</v>
      </c>
      <c r="D190" s="1" t="s">
        <v>891</v>
      </c>
      <c r="E190" s="1" t="s">
        <v>752</v>
      </c>
      <c r="F190" s="1"/>
      <c r="G190" s="1"/>
      <c r="H190" s="1"/>
      <c r="I190" s="1" t="s">
        <v>55</v>
      </c>
      <c r="J190" s="1"/>
      <c r="K190" s="1"/>
      <c r="L190" s="1" t="s">
        <v>753</v>
      </c>
      <c r="M190" s="1" t="s">
        <v>77</v>
      </c>
      <c r="N190" s="1" t="s">
        <v>56</v>
      </c>
      <c r="O190" s="1" t="s">
        <v>37</v>
      </c>
      <c r="P190" s="1" t="s">
        <v>754</v>
      </c>
      <c r="Q190" s="1" t="s">
        <v>755</v>
      </c>
      <c r="R190" s="1" t="s">
        <v>727</v>
      </c>
    </row>
    <row r="191" spans="1:18" x14ac:dyDescent="0.3">
      <c r="A191" s="1" t="s">
        <v>756</v>
      </c>
      <c r="B191">
        <v>192</v>
      </c>
      <c r="C191" s="1" t="s">
        <v>99</v>
      </c>
      <c r="D191" s="1" t="s">
        <v>875</v>
      </c>
      <c r="E191" s="1" t="s">
        <v>757</v>
      </c>
      <c r="F191" s="1"/>
      <c r="G191" s="1"/>
      <c r="H191" s="1"/>
      <c r="I191" s="1" t="s">
        <v>55</v>
      </c>
      <c r="J191" s="1"/>
      <c r="K191" s="1"/>
      <c r="L191" s="1" t="s">
        <v>753</v>
      </c>
      <c r="M191" s="1" t="s">
        <v>758</v>
      </c>
      <c r="N191" s="1" t="s">
        <v>310</v>
      </c>
      <c r="O191" s="1" t="s">
        <v>37</v>
      </c>
      <c r="P191" s="1" t="s">
        <v>757</v>
      </c>
      <c r="Q191" s="1" t="s">
        <v>958</v>
      </c>
      <c r="R191" s="1" t="s">
        <v>727</v>
      </c>
    </row>
    <row r="192" spans="1:18" x14ac:dyDescent="0.3">
      <c r="A192" s="1" t="s">
        <v>760</v>
      </c>
      <c r="B192">
        <v>193</v>
      </c>
      <c r="C192" s="1" t="s">
        <v>99</v>
      </c>
      <c r="D192" s="1" t="s">
        <v>875</v>
      </c>
      <c r="E192" s="1" t="s">
        <v>761</v>
      </c>
      <c r="F192" s="1"/>
      <c r="G192" s="1"/>
      <c r="H192" s="1"/>
      <c r="I192" s="1" t="s">
        <v>61</v>
      </c>
      <c r="J192" s="1"/>
      <c r="K192" s="1"/>
      <c r="L192" s="1" t="s">
        <v>762</v>
      </c>
      <c r="M192" s="1" t="s">
        <v>46</v>
      </c>
      <c r="N192" s="1" t="s">
        <v>37</v>
      </c>
      <c r="O192" s="1" t="s">
        <v>37</v>
      </c>
      <c r="P192" s="1" t="s">
        <v>761</v>
      </c>
      <c r="Q192" s="1" t="s">
        <v>37</v>
      </c>
      <c r="R192" s="1" t="s">
        <v>727</v>
      </c>
    </row>
    <row r="193" spans="1:18" x14ac:dyDescent="0.3">
      <c r="A193" s="1" t="s">
        <v>763</v>
      </c>
      <c r="B193">
        <v>194</v>
      </c>
      <c r="C193" s="1" t="s">
        <v>99</v>
      </c>
      <c r="D193" s="1" t="s">
        <v>875</v>
      </c>
      <c r="E193" s="1" t="s">
        <v>764</v>
      </c>
      <c r="F193" s="1"/>
      <c r="G193" s="1"/>
      <c r="H193" s="1"/>
      <c r="I193" s="1" t="s">
        <v>61</v>
      </c>
      <c r="J193" s="1"/>
      <c r="K193" s="1"/>
      <c r="L193" s="1" t="s">
        <v>765</v>
      </c>
      <c r="M193" s="1" t="s">
        <v>37</v>
      </c>
      <c r="N193" s="1" t="s">
        <v>37</v>
      </c>
      <c r="O193" s="1" t="s">
        <v>37</v>
      </c>
      <c r="P193" s="1" t="s">
        <v>764</v>
      </c>
      <c r="Q193" s="1" t="s">
        <v>37</v>
      </c>
      <c r="R193" s="1" t="s">
        <v>727</v>
      </c>
    </row>
    <row r="194" spans="1:18" x14ac:dyDescent="0.3">
      <c r="A194" s="1" t="s">
        <v>766</v>
      </c>
      <c r="B194">
        <v>195</v>
      </c>
      <c r="C194" s="1" t="s">
        <v>99</v>
      </c>
      <c r="D194" s="1" t="s">
        <v>875</v>
      </c>
      <c r="E194" s="1" t="s">
        <v>767</v>
      </c>
      <c r="F194" s="1"/>
      <c r="G194" s="1"/>
      <c r="H194" s="1"/>
      <c r="I194" s="1" t="s">
        <v>61</v>
      </c>
      <c r="J194" s="1"/>
      <c r="K194" s="1"/>
      <c r="L194" s="1" t="s">
        <v>959</v>
      </c>
      <c r="M194" s="1" t="s">
        <v>77</v>
      </c>
      <c r="N194" s="1" t="s">
        <v>101</v>
      </c>
      <c r="O194" s="1" t="s">
        <v>37</v>
      </c>
      <c r="P194" s="1" t="s">
        <v>769</v>
      </c>
      <c r="Q194" s="1" t="s">
        <v>37</v>
      </c>
      <c r="R194" s="1" t="s">
        <v>727</v>
      </c>
    </row>
    <row r="195" spans="1:18" x14ac:dyDescent="0.3">
      <c r="A195" s="1" t="s">
        <v>770</v>
      </c>
      <c r="B195">
        <v>196</v>
      </c>
      <c r="C195" s="1" t="s">
        <v>99</v>
      </c>
      <c r="D195" s="1" t="s">
        <v>875</v>
      </c>
      <c r="E195" s="1" t="s">
        <v>771</v>
      </c>
      <c r="F195" s="1"/>
      <c r="G195" s="1"/>
      <c r="H195" s="1"/>
      <c r="I195" s="1" t="s">
        <v>35</v>
      </c>
      <c r="J195" s="1"/>
      <c r="K195" s="1"/>
      <c r="L195" s="2">
        <v>46387</v>
      </c>
      <c r="M195" s="1" t="s">
        <v>100</v>
      </c>
      <c r="N195" s="1" t="s">
        <v>37</v>
      </c>
      <c r="O195" s="1" t="s">
        <v>37</v>
      </c>
      <c r="P195" s="1" t="s">
        <v>772</v>
      </c>
      <c r="Q195" s="1" t="s">
        <v>37</v>
      </c>
      <c r="R195" s="1" t="s">
        <v>727</v>
      </c>
    </row>
    <row r="196" spans="1:18" x14ac:dyDescent="0.3">
      <c r="A196" s="1" t="s">
        <v>773</v>
      </c>
      <c r="B196">
        <v>197</v>
      </c>
      <c r="C196" s="1" t="s">
        <v>99</v>
      </c>
      <c r="D196" s="1" t="s">
        <v>891</v>
      </c>
      <c r="E196" s="1" t="s">
        <v>774</v>
      </c>
      <c r="F196" s="1"/>
      <c r="G196" s="1"/>
      <c r="H196" s="1"/>
      <c r="I196" s="1" t="s">
        <v>775</v>
      </c>
      <c r="J196" s="1"/>
      <c r="K196" s="1"/>
      <c r="L196" s="2">
        <v>46202</v>
      </c>
      <c r="M196" s="1" t="s">
        <v>37</v>
      </c>
      <c r="N196" s="1" t="s">
        <v>37</v>
      </c>
      <c r="O196" s="1" t="s">
        <v>37</v>
      </c>
      <c r="P196" s="1" t="s">
        <v>776</v>
      </c>
      <c r="Q196" s="1" t="s">
        <v>777</v>
      </c>
      <c r="R196" s="1" t="s">
        <v>727</v>
      </c>
    </row>
    <row r="197" spans="1:18" x14ac:dyDescent="0.3">
      <c r="A197" s="1" t="s">
        <v>778</v>
      </c>
      <c r="B197">
        <v>198</v>
      </c>
      <c r="C197" s="1" t="s">
        <v>99</v>
      </c>
      <c r="D197" s="1" t="s">
        <v>875</v>
      </c>
      <c r="E197" s="1" t="s">
        <v>779</v>
      </c>
      <c r="F197" s="1"/>
      <c r="G197" s="1"/>
      <c r="H197" s="1"/>
      <c r="I197" s="1" t="s">
        <v>35</v>
      </c>
      <c r="J197" s="1"/>
      <c r="K197" s="1"/>
      <c r="L197" s="1" t="s">
        <v>753</v>
      </c>
      <c r="M197" s="1" t="s">
        <v>77</v>
      </c>
      <c r="N197" s="1" t="s">
        <v>310</v>
      </c>
      <c r="O197" s="1" t="s">
        <v>37</v>
      </c>
      <c r="P197" s="1" t="s">
        <v>780</v>
      </c>
      <c r="Q197" s="1" t="s">
        <v>37</v>
      </c>
      <c r="R197" s="1" t="s">
        <v>727</v>
      </c>
    </row>
    <row r="198" spans="1:18" x14ac:dyDescent="0.3">
      <c r="A198" s="1" t="s">
        <v>781</v>
      </c>
      <c r="B198">
        <v>199</v>
      </c>
      <c r="C198" s="1" t="s">
        <v>99</v>
      </c>
      <c r="D198" s="1" t="s">
        <v>875</v>
      </c>
      <c r="E198" s="1" t="s">
        <v>782</v>
      </c>
      <c r="F198" s="1"/>
      <c r="G198" s="1"/>
      <c r="H198" s="1"/>
      <c r="I198" s="1" t="s">
        <v>35</v>
      </c>
      <c r="J198" s="1"/>
      <c r="K198" s="1"/>
      <c r="L198" s="2">
        <v>46295</v>
      </c>
      <c r="M198" s="1" t="s">
        <v>193</v>
      </c>
      <c r="N198" s="1" t="s">
        <v>56</v>
      </c>
      <c r="O198" s="1" t="s">
        <v>37</v>
      </c>
      <c r="P198" s="1" t="s">
        <v>782</v>
      </c>
      <c r="Q198" s="1" t="s">
        <v>37</v>
      </c>
      <c r="R198" s="1" t="s">
        <v>727</v>
      </c>
    </row>
    <row r="199" spans="1:18" x14ac:dyDescent="0.3">
      <c r="A199" s="1" t="s">
        <v>783</v>
      </c>
      <c r="B199">
        <v>200</v>
      </c>
      <c r="C199" s="1" t="s">
        <v>99</v>
      </c>
      <c r="D199" s="1" t="s">
        <v>875</v>
      </c>
      <c r="E199" s="1" t="s">
        <v>784</v>
      </c>
      <c r="F199" s="1"/>
      <c r="G199" s="1"/>
      <c r="H199" s="1"/>
      <c r="I199" s="1" t="s">
        <v>35</v>
      </c>
      <c r="J199" s="1"/>
      <c r="K199" s="1"/>
      <c r="L199" s="2">
        <v>45747</v>
      </c>
      <c r="M199" s="1" t="s">
        <v>193</v>
      </c>
      <c r="N199" s="1" t="s">
        <v>310</v>
      </c>
      <c r="O199" s="1" t="s">
        <v>37</v>
      </c>
      <c r="P199" s="1" t="s">
        <v>785</v>
      </c>
      <c r="Q199" s="1" t="s">
        <v>37</v>
      </c>
      <c r="R199" s="1" t="s">
        <v>727</v>
      </c>
    </row>
    <row r="200" spans="1:18" x14ac:dyDescent="0.3">
      <c r="A200" s="1" t="s">
        <v>786</v>
      </c>
      <c r="B200">
        <v>201</v>
      </c>
      <c r="C200" s="1" t="s">
        <v>99</v>
      </c>
      <c r="D200" s="1" t="s">
        <v>875</v>
      </c>
      <c r="E200" s="1" t="s">
        <v>787</v>
      </c>
      <c r="F200" s="1"/>
      <c r="G200" s="1"/>
      <c r="H200" s="1"/>
      <c r="I200" s="1" t="s">
        <v>35</v>
      </c>
      <c r="J200" s="1"/>
      <c r="K200" s="1"/>
      <c r="L200" s="2">
        <v>46067</v>
      </c>
      <c r="M200" s="1" t="s">
        <v>36</v>
      </c>
      <c r="N200" s="1" t="s">
        <v>56</v>
      </c>
      <c r="O200" s="1" t="s">
        <v>37</v>
      </c>
      <c r="P200" s="1" t="s">
        <v>788</v>
      </c>
      <c r="Q200" s="1" t="s">
        <v>37</v>
      </c>
      <c r="R200" s="1" t="s">
        <v>727</v>
      </c>
    </row>
    <row r="201" spans="1:18" x14ac:dyDescent="0.3">
      <c r="A201" s="1" t="s">
        <v>789</v>
      </c>
      <c r="B201">
        <v>202</v>
      </c>
      <c r="C201" s="1" t="s">
        <v>99</v>
      </c>
      <c r="D201" s="1" t="s">
        <v>875</v>
      </c>
      <c r="E201" s="1" t="s">
        <v>790</v>
      </c>
      <c r="F201" s="1"/>
      <c r="G201" s="1"/>
      <c r="H201" s="1"/>
      <c r="I201" s="1" t="s">
        <v>775</v>
      </c>
      <c r="J201" s="1"/>
      <c r="K201" s="1"/>
      <c r="L201" s="1" t="s">
        <v>46</v>
      </c>
      <c r="M201" s="1" t="s">
        <v>46</v>
      </c>
      <c r="N201" s="1" t="s">
        <v>46</v>
      </c>
      <c r="O201" s="1" t="s">
        <v>37</v>
      </c>
      <c r="P201" s="1" t="s">
        <v>791</v>
      </c>
      <c r="Q201" s="1" t="s">
        <v>37</v>
      </c>
      <c r="R201" s="1" t="s">
        <v>727</v>
      </c>
    </row>
    <row r="202" spans="1:18" x14ac:dyDescent="0.3">
      <c r="A202" s="1" t="s">
        <v>792</v>
      </c>
      <c r="B202">
        <v>203</v>
      </c>
      <c r="C202" s="1" t="s">
        <v>99</v>
      </c>
      <c r="D202" s="1" t="s">
        <v>875</v>
      </c>
      <c r="E202" s="1" t="s">
        <v>793</v>
      </c>
      <c r="F202" s="1"/>
      <c r="G202" s="1"/>
      <c r="H202" s="1"/>
      <c r="I202" s="1" t="s">
        <v>775</v>
      </c>
      <c r="J202" s="1"/>
      <c r="K202" s="1"/>
      <c r="L202" s="1" t="s">
        <v>46</v>
      </c>
      <c r="M202" s="1" t="s">
        <v>46</v>
      </c>
      <c r="N202" s="1" t="s">
        <v>46</v>
      </c>
      <c r="O202" s="1" t="s">
        <v>37</v>
      </c>
      <c r="P202" s="1" t="s">
        <v>794</v>
      </c>
      <c r="Q202" s="1" t="s">
        <v>37</v>
      </c>
      <c r="R202" s="1" t="s">
        <v>727</v>
      </c>
    </row>
    <row r="203" spans="1:18" x14ac:dyDescent="0.3">
      <c r="A203" s="1" t="s">
        <v>795</v>
      </c>
      <c r="B203">
        <v>204</v>
      </c>
      <c r="C203" s="1" t="s">
        <v>99</v>
      </c>
      <c r="D203" s="1" t="s">
        <v>875</v>
      </c>
      <c r="E203" s="1" t="s">
        <v>796</v>
      </c>
      <c r="F203" s="1"/>
      <c r="G203" s="1"/>
      <c r="H203" s="1"/>
      <c r="I203" s="1" t="s">
        <v>35</v>
      </c>
      <c r="J203" s="1"/>
      <c r="K203" s="1"/>
      <c r="L203" s="1" t="s">
        <v>46</v>
      </c>
      <c r="M203" s="1" t="s">
        <v>46</v>
      </c>
      <c r="N203" s="1" t="s">
        <v>46</v>
      </c>
      <c r="O203" s="1" t="s">
        <v>37</v>
      </c>
      <c r="P203" s="1" t="s">
        <v>797</v>
      </c>
      <c r="Q203" s="1" t="s">
        <v>37</v>
      </c>
      <c r="R203" s="1" t="s">
        <v>727</v>
      </c>
    </row>
    <row r="204" spans="1:18" x14ac:dyDescent="0.3">
      <c r="A204" s="1" t="s">
        <v>798</v>
      </c>
      <c r="B204">
        <v>205</v>
      </c>
      <c r="C204" s="1" t="s">
        <v>99</v>
      </c>
      <c r="D204" s="1" t="s">
        <v>875</v>
      </c>
      <c r="E204" s="1" t="s">
        <v>799</v>
      </c>
      <c r="F204" s="1"/>
      <c r="G204" s="1"/>
      <c r="H204" s="1"/>
      <c r="I204" s="1" t="s">
        <v>55</v>
      </c>
      <c r="J204" s="1"/>
      <c r="K204" s="1"/>
      <c r="L204" s="1" t="s">
        <v>46</v>
      </c>
      <c r="M204" s="1" t="s">
        <v>46</v>
      </c>
      <c r="N204" s="1" t="s">
        <v>46</v>
      </c>
      <c r="O204" s="1" t="s">
        <v>37</v>
      </c>
      <c r="P204" s="1" t="s">
        <v>800</v>
      </c>
      <c r="Q204" s="1" t="s">
        <v>37</v>
      </c>
      <c r="R204" s="1" t="s">
        <v>727</v>
      </c>
    </row>
    <row r="205" spans="1:18" x14ac:dyDescent="0.3">
      <c r="A205" s="1" t="s">
        <v>801</v>
      </c>
      <c r="B205">
        <v>206</v>
      </c>
      <c r="C205" s="1" t="s">
        <v>99</v>
      </c>
      <c r="D205" s="1" t="s">
        <v>875</v>
      </c>
      <c r="E205" s="1" t="s">
        <v>802</v>
      </c>
      <c r="F205" s="1"/>
      <c r="G205" s="1"/>
      <c r="H205" s="1"/>
      <c r="I205" s="1" t="s">
        <v>61</v>
      </c>
      <c r="J205" s="1"/>
      <c r="K205" s="1"/>
      <c r="L205" s="1" t="s">
        <v>46</v>
      </c>
      <c r="M205" s="1" t="s">
        <v>46</v>
      </c>
      <c r="N205" s="1" t="s">
        <v>46</v>
      </c>
      <c r="O205" s="1" t="s">
        <v>37</v>
      </c>
      <c r="P205" s="1" t="s">
        <v>803</v>
      </c>
      <c r="Q205" s="1" t="s">
        <v>37</v>
      </c>
      <c r="R205" s="1" t="s">
        <v>727</v>
      </c>
    </row>
    <row r="206" spans="1:18" x14ac:dyDescent="0.3">
      <c r="A206" s="1" t="s">
        <v>804</v>
      </c>
      <c r="B206">
        <v>207</v>
      </c>
      <c r="C206" s="1" t="s">
        <v>99</v>
      </c>
      <c r="D206" s="1" t="s">
        <v>875</v>
      </c>
      <c r="E206" s="1" t="s">
        <v>805</v>
      </c>
      <c r="F206" s="1"/>
      <c r="G206" s="1"/>
      <c r="H206" s="1"/>
      <c r="I206" s="1" t="s">
        <v>55</v>
      </c>
      <c r="J206" s="1"/>
      <c r="K206" s="1"/>
      <c r="L206" s="1" t="s">
        <v>46</v>
      </c>
      <c r="M206" s="1" t="s">
        <v>37</v>
      </c>
      <c r="N206" s="1" t="s">
        <v>37</v>
      </c>
      <c r="O206" s="1" t="s">
        <v>37</v>
      </c>
      <c r="P206" s="1" t="s">
        <v>806</v>
      </c>
      <c r="Q206" s="1" t="s">
        <v>37</v>
      </c>
      <c r="R206" s="1" t="s">
        <v>727</v>
      </c>
    </row>
    <row r="207" spans="1:18" x14ac:dyDescent="0.3">
      <c r="A207" s="1" t="s">
        <v>807</v>
      </c>
      <c r="B207">
        <v>208</v>
      </c>
      <c r="C207" s="1" t="s">
        <v>99</v>
      </c>
      <c r="D207" s="1" t="s">
        <v>875</v>
      </c>
      <c r="E207" s="1" t="s">
        <v>808</v>
      </c>
      <c r="F207" s="1"/>
      <c r="G207" s="1"/>
      <c r="H207" s="1"/>
      <c r="I207" s="1" t="s">
        <v>55</v>
      </c>
      <c r="J207" s="1"/>
      <c r="K207" s="1"/>
      <c r="L207" s="1" t="s">
        <v>46</v>
      </c>
      <c r="M207" s="1" t="s">
        <v>46</v>
      </c>
      <c r="N207" s="1" t="s">
        <v>46</v>
      </c>
      <c r="O207" s="1" t="s">
        <v>37</v>
      </c>
      <c r="P207" s="1" t="s">
        <v>809</v>
      </c>
      <c r="Q207" s="1" t="s">
        <v>37</v>
      </c>
      <c r="R207" s="1" t="s">
        <v>727</v>
      </c>
    </row>
    <row r="208" spans="1:18" x14ac:dyDescent="0.3">
      <c r="A208" s="1" t="s">
        <v>810</v>
      </c>
      <c r="B208">
        <v>209</v>
      </c>
      <c r="C208" s="1" t="s">
        <v>99</v>
      </c>
      <c r="D208" s="1" t="s">
        <v>875</v>
      </c>
      <c r="E208" s="1" t="s">
        <v>811</v>
      </c>
      <c r="F208" s="1"/>
      <c r="G208" s="1"/>
      <c r="H208" s="1"/>
      <c r="I208" s="1" t="s">
        <v>35</v>
      </c>
      <c r="J208" s="1"/>
      <c r="K208" s="1"/>
      <c r="L208" s="1" t="s">
        <v>46</v>
      </c>
      <c r="M208" s="1" t="s">
        <v>46</v>
      </c>
      <c r="N208" s="1" t="s">
        <v>46</v>
      </c>
      <c r="O208" s="1" t="s">
        <v>37</v>
      </c>
      <c r="P208" s="1" t="s">
        <v>811</v>
      </c>
      <c r="Q208" s="1" t="s">
        <v>37</v>
      </c>
      <c r="R208" s="1" t="s">
        <v>727</v>
      </c>
    </row>
    <row r="209" spans="1:18" x14ac:dyDescent="0.3">
      <c r="A209" s="1" t="s">
        <v>812</v>
      </c>
      <c r="B209">
        <v>210</v>
      </c>
      <c r="C209" s="1" t="s">
        <v>99</v>
      </c>
      <c r="D209" s="1" t="s">
        <v>875</v>
      </c>
      <c r="E209" s="1" t="s">
        <v>813</v>
      </c>
      <c r="F209" s="1"/>
      <c r="G209" s="1"/>
      <c r="H209" s="1"/>
      <c r="I209" s="1" t="s">
        <v>55</v>
      </c>
      <c r="J209" s="1"/>
      <c r="K209" s="1"/>
      <c r="L209" s="1" t="s">
        <v>46</v>
      </c>
      <c r="M209" s="1" t="s">
        <v>46</v>
      </c>
      <c r="N209" s="1" t="s">
        <v>46</v>
      </c>
      <c r="O209" s="1" t="s">
        <v>37</v>
      </c>
      <c r="P209" s="1" t="s">
        <v>813</v>
      </c>
      <c r="Q209" s="1" t="s">
        <v>954</v>
      </c>
      <c r="R209" s="1" t="s">
        <v>727</v>
      </c>
    </row>
    <row r="210" spans="1:18" x14ac:dyDescent="0.3">
      <c r="A210" s="1" t="s">
        <v>814</v>
      </c>
      <c r="B210">
        <v>211</v>
      </c>
      <c r="C210" s="1" t="s">
        <v>99</v>
      </c>
      <c r="D210" s="1" t="s">
        <v>875</v>
      </c>
      <c r="E210" s="1" t="s">
        <v>815</v>
      </c>
      <c r="F210" s="1"/>
      <c r="G210" s="1"/>
      <c r="H210" s="1"/>
      <c r="I210" s="1" t="s">
        <v>775</v>
      </c>
      <c r="J210" s="1"/>
      <c r="K210" s="1"/>
      <c r="L210" s="1" t="s">
        <v>46</v>
      </c>
      <c r="M210" s="1" t="s">
        <v>46</v>
      </c>
      <c r="N210" s="1" t="s">
        <v>46</v>
      </c>
      <c r="O210" s="1" t="s">
        <v>37</v>
      </c>
      <c r="P210" s="1" t="s">
        <v>816</v>
      </c>
      <c r="Q210" s="1" t="s">
        <v>37</v>
      </c>
      <c r="R210" s="1" t="s">
        <v>727</v>
      </c>
    </row>
    <row r="211" spans="1:18" x14ac:dyDescent="0.3">
      <c r="A211" s="1" t="s">
        <v>817</v>
      </c>
      <c r="B211">
        <v>212</v>
      </c>
      <c r="C211" s="1" t="s">
        <v>99</v>
      </c>
      <c r="D211" s="1" t="s">
        <v>891</v>
      </c>
      <c r="E211" s="1" t="s">
        <v>818</v>
      </c>
      <c r="F211" s="1"/>
      <c r="G211" s="1"/>
      <c r="H211" s="1"/>
      <c r="I211" s="1" t="s">
        <v>775</v>
      </c>
      <c r="J211" s="1"/>
      <c r="K211" s="1"/>
      <c r="L211" s="1" t="s">
        <v>762</v>
      </c>
      <c r="M211" s="1" t="s">
        <v>37</v>
      </c>
      <c r="N211" s="1" t="s">
        <v>37</v>
      </c>
      <c r="O211" s="1" t="s">
        <v>37</v>
      </c>
      <c r="P211" s="1" t="s">
        <v>818</v>
      </c>
      <c r="Q211" s="1" t="s">
        <v>755</v>
      </c>
      <c r="R211" s="1" t="s">
        <v>727</v>
      </c>
    </row>
    <row r="212" spans="1:18" x14ac:dyDescent="0.3">
      <c r="A212" s="1" t="s">
        <v>819</v>
      </c>
      <c r="B212">
        <v>213</v>
      </c>
      <c r="C212" s="1" t="s">
        <v>99</v>
      </c>
      <c r="D212" s="1" t="s">
        <v>891</v>
      </c>
      <c r="E212" s="1" t="s">
        <v>820</v>
      </c>
      <c r="F212" s="1"/>
      <c r="G212" s="1"/>
      <c r="H212" s="1"/>
      <c r="I212" s="1" t="s">
        <v>55</v>
      </c>
      <c r="J212" s="1"/>
      <c r="K212" s="1"/>
      <c r="L212" s="2">
        <v>46844</v>
      </c>
      <c r="M212" s="1" t="s">
        <v>36</v>
      </c>
      <c r="N212" s="1" t="s">
        <v>37</v>
      </c>
      <c r="O212" s="1" t="s">
        <v>37</v>
      </c>
      <c r="P212" s="1" t="s">
        <v>820</v>
      </c>
      <c r="Q212" s="1" t="s">
        <v>960</v>
      </c>
      <c r="R212" s="1" t="s">
        <v>727</v>
      </c>
    </row>
    <row r="213" spans="1:18" x14ac:dyDescent="0.3">
      <c r="A213" s="1" t="s">
        <v>821</v>
      </c>
      <c r="B213">
        <v>214</v>
      </c>
      <c r="C213" s="1" t="s">
        <v>99</v>
      </c>
      <c r="D213" s="1" t="s">
        <v>875</v>
      </c>
      <c r="E213" s="1" t="s">
        <v>822</v>
      </c>
      <c r="F213" s="1"/>
      <c r="G213" s="1"/>
      <c r="H213" s="1"/>
      <c r="I213" s="1" t="s">
        <v>55</v>
      </c>
      <c r="J213" s="1"/>
      <c r="K213" s="1"/>
      <c r="L213" s="1" t="s">
        <v>46</v>
      </c>
      <c r="M213" s="1" t="s">
        <v>46</v>
      </c>
      <c r="N213" s="1" t="s">
        <v>46</v>
      </c>
      <c r="O213" s="1" t="s">
        <v>37</v>
      </c>
      <c r="P213" s="1" t="s">
        <v>822</v>
      </c>
      <c r="Q213" s="1" t="s">
        <v>37</v>
      </c>
      <c r="R213" s="1" t="s">
        <v>727</v>
      </c>
    </row>
    <row r="214" spans="1:18" x14ac:dyDescent="0.3">
      <c r="A214" s="1" t="s">
        <v>823</v>
      </c>
      <c r="B214">
        <v>215</v>
      </c>
      <c r="C214" s="1" t="s">
        <v>99</v>
      </c>
      <c r="D214" s="1" t="s">
        <v>875</v>
      </c>
      <c r="E214" s="1" t="s">
        <v>824</v>
      </c>
      <c r="F214" s="1"/>
      <c r="G214" s="1"/>
      <c r="H214" s="1"/>
      <c r="I214" s="1" t="s">
        <v>35</v>
      </c>
      <c r="J214" s="1"/>
      <c r="K214" s="1"/>
      <c r="L214" s="1" t="s">
        <v>46</v>
      </c>
      <c r="M214" s="1" t="s">
        <v>46</v>
      </c>
      <c r="N214" s="1" t="s">
        <v>46</v>
      </c>
      <c r="O214" s="1" t="s">
        <v>37</v>
      </c>
      <c r="P214" s="1" t="s">
        <v>825</v>
      </c>
      <c r="Q214" s="1" t="s">
        <v>37</v>
      </c>
      <c r="R214" s="1" t="s">
        <v>727</v>
      </c>
    </row>
    <row r="215" spans="1:18" x14ac:dyDescent="0.3">
      <c r="A215" s="1" t="s">
        <v>826</v>
      </c>
      <c r="B215">
        <v>216</v>
      </c>
      <c r="C215" s="1" t="s">
        <v>99</v>
      </c>
      <c r="D215" s="1" t="s">
        <v>875</v>
      </c>
      <c r="E215" s="1" t="s">
        <v>827</v>
      </c>
      <c r="F215" s="1"/>
      <c r="G215" s="1"/>
      <c r="H215" s="1"/>
      <c r="I215" s="1" t="s">
        <v>55</v>
      </c>
      <c r="J215" s="1"/>
      <c r="K215" s="1"/>
      <c r="L215" s="2">
        <v>46444</v>
      </c>
      <c r="M215" s="1" t="s">
        <v>77</v>
      </c>
      <c r="N215" s="1" t="s">
        <v>56</v>
      </c>
      <c r="O215" s="1" t="s">
        <v>37</v>
      </c>
      <c r="P215" s="1" t="s">
        <v>828</v>
      </c>
      <c r="Q215" s="1" t="s">
        <v>37</v>
      </c>
      <c r="R215" s="1" t="s">
        <v>727</v>
      </c>
    </row>
    <row r="216" spans="1:18" x14ac:dyDescent="0.3">
      <c r="A216" s="1" t="s">
        <v>829</v>
      </c>
      <c r="B216">
        <v>217</v>
      </c>
      <c r="C216" s="1" t="s">
        <v>99</v>
      </c>
      <c r="D216" s="1" t="s">
        <v>875</v>
      </c>
      <c r="E216" s="1" t="s">
        <v>830</v>
      </c>
      <c r="F216" s="1"/>
      <c r="G216" s="1"/>
      <c r="H216" s="1"/>
      <c r="I216" s="1" t="s">
        <v>775</v>
      </c>
      <c r="J216" s="1"/>
      <c r="K216" s="1"/>
      <c r="L216" s="1" t="s">
        <v>831</v>
      </c>
      <c r="M216" s="1" t="s">
        <v>37</v>
      </c>
      <c r="N216" s="1" t="s">
        <v>37</v>
      </c>
      <c r="O216" s="1" t="s">
        <v>37</v>
      </c>
      <c r="P216" s="1" t="s">
        <v>832</v>
      </c>
      <c r="Q216" s="1" t="s">
        <v>37</v>
      </c>
      <c r="R216" s="1" t="s">
        <v>727</v>
      </c>
    </row>
    <row r="217" spans="1:18" x14ac:dyDescent="0.3">
      <c r="A217" s="1" t="s">
        <v>833</v>
      </c>
      <c r="B217">
        <v>218</v>
      </c>
      <c r="C217" s="1" t="s">
        <v>99</v>
      </c>
      <c r="D217" s="1" t="s">
        <v>875</v>
      </c>
      <c r="E217" s="1" t="s">
        <v>834</v>
      </c>
      <c r="F217" s="1"/>
      <c r="G217" s="1"/>
      <c r="H217" s="1"/>
      <c r="I217" s="1" t="s">
        <v>775</v>
      </c>
      <c r="J217" s="1"/>
      <c r="K217" s="1"/>
      <c r="L217" s="2">
        <v>46752</v>
      </c>
      <c r="M217" s="1" t="s">
        <v>37</v>
      </c>
      <c r="N217" s="1" t="s">
        <v>835</v>
      </c>
      <c r="O217" s="1" t="s">
        <v>37</v>
      </c>
      <c r="P217" s="1" t="s">
        <v>834</v>
      </c>
      <c r="Q217" s="1" t="s">
        <v>37</v>
      </c>
      <c r="R217" s="1" t="s">
        <v>727</v>
      </c>
    </row>
    <row r="218" spans="1:18" x14ac:dyDescent="0.3">
      <c r="A218" s="1" t="s">
        <v>836</v>
      </c>
      <c r="B218">
        <v>219</v>
      </c>
      <c r="C218" s="1" t="s">
        <v>99</v>
      </c>
      <c r="D218" s="1" t="s">
        <v>875</v>
      </c>
      <c r="E218" s="1" t="s">
        <v>837</v>
      </c>
      <c r="F218" s="1"/>
      <c r="G218" s="1"/>
      <c r="H218" s="1"/>
      <c r="I218" s="1" t="s">
        <v>55</v>
      </c>
      <c r="J218" s="1"/>
      <c r="K218" s="1"/>
      <c r="L218" s="1" t="s">
        <v>46</v>
      </c>
      <c r="M218" s="1" t="s">
        <v>37</v>
      </c>
      <c r="N218" s="1" t="s">
        <v>37</v>
      </c>
      <c r="O218" s="1" t="s">
        <v>37</v>
      </c>
      <c r="P218" s="1" t="s">
        <v>838</v>
      </c>
      <c r="Q218" s="1" t="s">
        <v>37</v>
      </c>
      <c r="R218" s="1" t="s">
        <v>727</v>
      </c>
    </row>
    <row r="219" spans="1:18" x14ac:dyDescent="0.3">
      <c r="A219" s="1" t="s">
        <v>839</v>
      </c>
      <c r="B219">
        <v>220</v>
      </c>
      <c r="C219" s="1" t="s">
        <v>99</v>
      </c>
      <c r="D219" s="1" t="s">
        <v>875</v>
      </c>
      <c r="E219" s="1" t="s">
        <v>840</v>
      </c>
      <c r="F219" s="1"/>
      <c r="G219" s="1"/>
      <c r="H219" s="1"/>
      <c r="I219" s="1" t="s">
        <v>775</v>
      </c>
      <c r="J219" s="1"/>
      <c r="K219" s="1"/>
      <c r="L219" s="1" t="s">
        <v>46</v>
      </c>
      <c r="M219" s="1" t="s">
        <v>46</v>
      </c>
      <c r="N219" s="1" t="s">
        <v>46</v>
      </c>
      <c r="O219" s="1" t="s">
        <v>37</v>
      </c>
      <c r="P219" s="1" t="s">
        <v>841</v>
      </c>
      <c r="Q219" s="1" t="s">
        <v>37</v>
      </c>
      <c r="R219" s="1" t="s">
        <v>727</v>
      </c>
    </row>
    <row r="220" spans="1:18" x14ac:dyDescent="0.3">
      <c r="A220" s="1" t="s">
        <v>842</v>
      </c>
      <c r="B220">
        <v>221</v>
      </c>
      <c r="C220" s="1" t="s">
        <v>99</v>
      </c>
      <c r="D220" s="1" t="s">
        <v>875</v>
      </c>
      <c r="E220" s="1" t="s">
        <v>843</v>
      </c>
      <c r="F220" s="1"/>
      <c r="G220" s="1"/>
      <c r="H220" s="1"/>
      <c r="I220" s="1" t="s">
        <v>775</v>
      </c>
      <c r="J220" s="1"/>
      <c r="K220" s="1"/>
      <c r="L220" s="1" t="s">
        <v>37</v>
      </c>
      <c r="M220" s="1" t="s">
        <v>37</v>
      </c>
      <c r="N220" s="1" t="s">
        <v>37</v>
      </c>
      <c r="O220" s="1" t="s">
        <v>37</v>
      </c>
      <c r="P220" s="1" t="s">
        <v>844</v>
      </c>
      <c r="Q220" s="1" t="s">
        <v>37</v>
      </c>
      <c r="R220" s="1" t="s">
        <v>727</v>
      </c>
    </row>
    <row r="221" spans="1:18" x14ac:dyDescent="0.3">
      <c r="A221" s="1" t="s">
        <v>845</v>
      </c>
      <c r="B221">
        <v>222</v>
      </c>
      <c r="C221" s="1" t="s">
        <v>99</v>
      </c>
      <c r="D221" s="1" t="s">
        <v>875</v>
      </c>
      <c r="E221" s="1" t="s">
        <v>846</v>
      </c>
      <c r="F221" s="1"/>
      <c r="G221" s="1"/>
      <c r="H221" s="1"/>
      <c r="I221" s="1" t="s">
        <v>775</v>
      </c>
      <c r="J221" s="1"/>
      <c r="K221" s="1"/>
      <c r="L221" s="1" t="s">
        <v>46</v>
      </c>
      <c r="M221" s="1" t="s">
        <v>37</v>
      </c>
      <c r="N221" s="1" t="s">
        <v>37</v>
      </c>
      <c r="O221" s="1" t="s">
        <v>37</v>
      </c>
      <c r="P221" s="1" t="s">
        <v>847</v>
      </c>
      <c r="Q221" s="1" t="s">
        <v>37</v>
      </c>
      <c r="R221" s="1" t="s">
        <v>727</v>
      </c>
    </row>
    <row r="222" spans="1:18" x14ac:dyDescent="0.3">
      <c r="A222" s="1" t="s">
        <v>848</v>
      </c>
      <c r="B222">
        <v>223</v>
      </c>
      <c r="C222" s="1" t="s">
        <v>99</v>
      </c>
      <c r="D222" s="1" t="s">
        <v>875</v>
      </c>
      <c r="E222" s="1" t="s">
        <v>849</v>
      </c>
      <c r="F222" s="1"/>
      <c r="G222" s="1"/>
      <c r="H222" s="1"/>
      <c r="I222" s="1" t="s">
        <v>775</v>
      </c>
      <c r="J222" s="1"/>
      <c r="K222" s="1"/>
      <c r="L222" s="1" t="s">
        <v>46</v>
      </c>
      <c r="M222" s="1" t="s">
        <v>37</v>
      </c>
      <c r="N222" s="1" t="s">
        <v>37</v>
      </c>
      <c r="O222" s="1" t="s">
        <v>37</v>
      </c>
      <c r="P222" s="1" t="s">
        <v>850</v>
      </c>
      <c r="Q222" s="1" t="s">
        <v>37</v>
      </c>
      <c r="R222" s="1" t="s">
        <v>727</v>
      </c>
    </row>
    <row r="223" spans="1:18" x14ac:dyDescent="0.3">
      <c r="A223" s="1" t="s">
        <v>851</v>
      </c>
      <c r="B223">
        <v>224</v>
      </c>
      <c r="C223" s="1" t="s">
        <v>99</v>
      </c>
      <c r="D223" s="1" t="s">
        <v>875</v>
      </c>
      <c r="E223" s="1" t="s">
        <v>852</v>
      </c>
      <c r="F223" s="1"/>
      <c r="G223" s="1"/>
      <c r="H223" s="1"/>
      <c r="I223" s="1" t="s">
        <v>775</v>
      </c>
      <c r="J223" s="1"/>
      <c r="K223" s="1"/>
      <c r="L223" s="1" t="s">
        <v>46</v>
      </c>
      <c r="M223" s="1" t="s">
        <v>46</v>
      </c>
      <c r="N223" s="1" t="s">
        <v>46</v>
      </c>
      <c r="O223" s="1" t="s">
        <v>37</v>
      </c>
      <c r="P223" s="1" t="s">
        <v>853</v>
      </c>
      <c r="Q223" s="1" t="s">
        <v>37</v>
      </c>
      <c r="R223" s="1" t="s">
        <v>727</v>
      </c>
    </row>
    <row r="224" spans="1:18" x14ac:dyDescent="0.3">
      <c r="A224" s="1" t="s">
        <v>854</v>
      </c>
      <c r="B224">
        <v>225</v>
      </c>
      <c r="C224" s="1" t="s">
        <v>99</v>
      </c>
      <c r="D224" s="1" t="s">
        <v>875</v>
      </c>
      <c r="E224" s="1" t="s">
        <v>855</v>
      </c>
      <c r="F224" s="1"/>
      <c r="G224" s="1"/>
      <c r="H224" s="1"/>
      <c r="I224" s="1" t="s">
        <v>775</v>
      </c>
      <c r="J224" s="1"/>
      <c r="K224" s="1"/>
      <c r="L224" s="1" t="s">
        <v>37</v>
      </c>
      <c r="M224" s="1" t="s">
        <v>37</v>
      </c>
      <c r="N224" s="1" t="s">
        <v>37</v>
      </c>
      <c r="O224" s="1" t="s">
        <v>37</v>
      </c>
      <c r="P224" s="1" t="s">
        <v>855</v>
      </c>
      <c r="Q224" s="1" t="s">
        <v>37</v>
      </c>
      <c r="R224" s="1" t="s">
        <v>727</v>
      </c>
    </row>
    <row r="225" spans="1:18" x14ac:dyDescent="0.3">
      <c r="A225" s="1" t="s">
        <v>856</v>
      </c>
      <c r="B225">
        <v>226</v>
      </c>
      <c r="C225" s="1" t="s">
        <v>99</v>
      </c>
      <c r="D225" s="1" t="s">
        <v>875</v>
      </c>
      <c r="E225" s="1" t="s">
        <v>857</v>
      </c>
      <c r="F225" s="1"/>
      <c r="G225" s="1"/>
      <c r="H225" s="1"/>
      <c r="I225" s="1" t="s">
        <v>775</v>
      </c>
      <c r="J225" s="1"/>
      <c r="K225" s="1"/>
      <c r="L225" s="1" t="s">
        <v>46</v>
      </c>
      <c r="M225" s="1" t="s">
        <v>46</v>
      </c>
      <c r="N225" s="1" t="s">
        <v>46</v>
      </c>
      <c r="O225" s="1" t="s">
        <v>37</v>
      </c>
      <c r="P225" s="1" t="s">
        <v>858</v>
      </c>
      <c r="Q225" s="1" t="s">
        <v>37</v>
      </c>
      <c r="R225" s="1" t="s">
        <v>727</v>
      </c>
    </row>
    <row r="226" spans="1:18" x14ac:dyDescent="0.3">
      <c r="A226" s="1" t="s">
        <v>859</v>
      </c>
      <c r="B226">
        <v>227</v>
      </c>
      <c r="C226" s="1" t="s">
        <v>99</v>
      </c>
      <c r="D226" s="1" t="s">
        <v>875</v>
      </c>
      <c r="E226" s="1" t="s">
        <v>860</v>
      </c>
      <c r="F226" s="1"/>
      <c r="G226" s="1"/>
      <c r="H226" s="1"/>
      <c r="I226" s="1" t="s">
        <v>775</v>
      </c>
      <c r="J226" s="1"/>
      <c r="K226" s="1"/>
      <c r="L226" s="1" t="s">
        <v>46</v>
      </c>
      <c r="M226" s="1" t="s">
        <v>37</v>
      </c>
      <c r="N226" s="1" t="s">
        <v>37</v>
      </c>
      <c r="O226" s="1" t="s">
        <v>37</v>
      </c>
      <c r="P226" s="1" t="s">
        <v>860</v>
      </c>
      <c r="Q226" s="1" t="s">
        <v>37</v>
      </c>
      <c r="R226" s="1" t="s">
        <v>727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076F3-B47C-4193-BE41-9489E1579F46}">
  <dimension ref="A1:F41"/>
  <sheetViews>
    <sheetView workbookViewId="0"/>
  </sheetViews>
  <sheetFormatPr defaultRowHeight="14.4" x14ac:dyDescent="0.3"/>
  <cols>
    <col min="1" max="1" width="24.77734375" customWidth="1"/>
    <col min="2" max="2" width="9.77734375" customWidth="1"/>
    <col min="3" max="3" width="28.77734375" customWidth="1"/>
    <col min="4" max="4" width="48.77734375" customWidth="1"/>
    <col min="5" max="5" width="95.77734375" customWidth="1"/>
    <col min="6" max="6" width="45.77734375" customWidth="1"/>
  </cols>
  <sheetData>
    <row r="1" spans="1:6" x14ac:dyDescent="0.3">
      <c r="A1" s="4" t="s">
        <v>961</v>
      </c>
      <c r="B1" s="4" t="s">
        <v>962</v>
      </c>
      <c r="C1" s="4" t="s">
        <v>963</v>
      </c>
      <c r="D1" s="4" t="s">
        <v>6</v>
      </c>
      <c r="E1" s="4" t="s">
        <v>964</v>
      </c>
      <c r="F1" s="4" t="s">
        <v>965</v>
      </c>
    </row>
    <row r="2" spans="1:6" ht="43.2" x14ac:dyDescent="0.3">
      <c r="A2" s="5" t="s">
        <v>0</v>
      </c>
      <c r="B2" s="5" t="s">
        <v>966</v>
      </c>
      <c r="C2" s="5" t="s">
        <v>967</v>
      </c>
      <c r="D2" s="5" t="s">
        <v>968</v>
      </c>
      <c r="E2" s="5" t="s">
        <v>969</v>
      </c>
      <c r="F2" s="5" t="s">
        <v>970</v>
      </c>
    </row>
    <row r="3" spans="1:6" ht="28.8" x14ac:dyDescent="0.3">
      <c r="A3" s="5" t="s">
        <v>1</v>
      </c>
      <c r="B3" s="5" t="s">
        <v>971</v>
      </c>
      <c r="C3" s="5" t="s">
        <v>972</v>
      </c>
      <c r="D3" s="5" t="s">
        <v>973</v>
      </c>
      <c r="E3" s="5" t="s">
        <v>974</v>
      </c>
      <c r="F3" s="5" t="s">
        <v>975</v>
      </c>
    </row>
    <row r="4" spans="1:6" ht="43.2" x14ac:dyDescent="0.3">
      <c r="A4" s="5" t="s">
        <v>2</v>
      </c>
      <c r="B4" s="5" t="s">
        <v>966</v>
      </c>
      <c r="C4" s="5" t="s">
        <v>976</v>
      </c>
      <c r="D4" s="5" t="s">
        <v>977</v>
      </c>
      <c r="E4" s="5" t="s">
        <v>978</v>
      </c>
      <c r="F4" s="5" t="s">
        <v>979</v>
      </c>
    </row>
    <row r="5" spans="1:6" ht="28.8" x14ac:dyDescent="0.3">
      <c r="A5" s="5" t="s">
        <v>3</v>
      </c>
      <c r="B5" s="5" t="s">
        <v>966</v>
      </c>
      <c r="C5" s="5" t="s">
        <v>980</v>
      </c>
      <c r="D5" s="5" t="s">
        <v>981</v>
      </c>
      <c r="E5" s="5" t="s">
        <v>982</v>
      </c>
      <c r="F5" s="5" t="s">
        <v>983</v>
      </c>
    </row>
    <row r="6" spans="1:6" ht="43.2" x14ac:dyDescent="0.3">
      <c r="A6" s="5" t="s">
        <v>4</v>
      </c>
      <c r="B6" s="5" t="s">
        <v>966</v>
      </c>
      <c r="C6" s="5" t="s">
        <v>984</v>
      </c>
      <c r="D6" s="5" t="s">
        <v>985</v>
      </c>
      <c r="E6" s="5" t="s">
        <v>986</v>
      </c>
      <c r="F6" s="5" t="s">
        <v>987</v>
      </c>
    </row>
    <row r="7" spans="1:6" x14ac:dyDescent="0.3">
      <c r="A7" s="5" t="s">
        <v>5</v>
      </c>
      <c r="B7" s="5" t="s">
        <v>966</v>
      </c>
      <c r="C7" s="5" t="s">
        <v>988</v>
      </c>
      <c r="D7" s="5" t="s">
        <v>989</v>
      </c>
      <c r="E7" s="5" t="s">
        <v>990</v>
      </c>
      <c r="F7" s="5" t="s">
        <v>991</v>
      </c>
    </row>
    <row r="8" spans="1:6" x14ac:dyDescent="0.3">
      <c r="A8" s="5" t="s">
        <v>6</v>
      </c>
      <c r="B8" s="5" t="s">
        <v>966</v>
      </c>
      <c r="C8" s="5" t="s">
        <v>992</v>
      </c>
      <c r="D8" s="5" t="s">
        <v>993</v>
      </c>
      <c r="E8" s="5" t="s">
        <v>994</v>
      </c>
      <c r="F8" s="5" t="s">
        <v>995</v>
      </c>
    </row>
    <row r="9" spans="1:6" ht="28.8" x14ac:dyDescent="0.3">
      <c r="A9" s="5" t="s">
        <v>7</v>
      </c>
      <c r="B9" s="5" t="s">
        <v>966</v>
      </c>
      <c r="C9" s="5" t="s">
        <v>996</v>
      </c>
      <c r="D9" s="5" t="s">
        <v>997</v>
      </c>
      <c r="E9" s="5" t="s">
        <v>998</v>
      </c>
      <c r="F9" s="5" t="s">
        <v>999</v>
      </c>
    </row>
    <row r="10" spans="1:6" x14ac:dyDescent="0.3">
      <c r="A10" s="5" t="s">
        <v>8</v>
      </c>
      <c r="B10" s="5" t="s">
        <v>966</v>
      </c>
      <c r="C10" s="5" t="s">
        <v>1000</v>
      </c>
      <c r="D10" s="5" t="s">
        <v>1001</v>
      </c>
      <c r="E10" s="5" t="s">
        <v>994</v>
      </c>
      <c r="F10" s="5" t="s">
        <v>1002</v>
      </c>
    </row>
    <row r="11" spans="1:6" x14ac:dyDescent="0.3">
      <c r="A11" s="5" t="s">
        <v>9</v>
      </c>
      <c r="B11" s="5" t="s">
        <v>966</v>
      </c>
      <c r="C11" s="5" t="s">
        <v>1003</v>
      </c>
      <c r="D11" s="5" t="s">
        <v>1004</v>
      </c>
      <c r="E11" s="5" t="s">
        <v>1005</v>
      </c>
      <c r="F11" s="5" t="s">
        <v>1006</v>
      </c>
    </row>
    <row r="12" spans="1:6" x14ac:dyDescent="0.3">
      <c r="A12" s="5" t="s">
        <v>10</v>
      </c>
      <c r="B12" s="5" t="s">
        <v>966</v>
      </c>
      <c r="C12" s="5" t="s">
        <v>1007</v>
      </c>
      <c r="D12" s="5" t="s">
        <v>1008</v>
      </c>
      <c r="E12" s="5" t="s">
        <v>1009</v>
      </c>
      <c r="F12" s="5" t="s">
        <v>1010</v>
      </c>
    </row>
    <row r="13" spans="1:6" x14ac:dyDescent="0.3">
      <c r="A13" s="5" t="s">
        <v>11</v>
      </c>
      <c r="B13" s="5" t="s">
        <v>966</v>
      </c>
      <c r="C13" s="5" t="s">
        <v>1011</v>
      </c>
      <c r="D13" s="5" t="s">
        <v>1012</v>
      </c>
      <c r="E13" s="5" t="s">
        <v>994</v>
      </c>
      <c r="F13" s="5" t="s">
        <v>1013</v>
      </c>
    </row>
    <row r="14" spans="1:6" ht="43.2" x14ac:dyDescent="0.3">
      <c r="A14" s="5" t="s">
        <v>12</v>
      </c>
      <c r="B14" s="5" t="s">
        <v>1014</v>
      </c>
      <c r="C14" s="5" t="s">
        <v>1015</v>
      </c>
      <c r="D14" s="5" t="s">
        <v>1016</v>
      </c>
      <c r="E14" s="5" t="s">
        <v>1017</v>
      </c>
      <c r="F14" s="5" t="s">
        <v>1018</v>
      </c>
    </row>
    <row r="15" spans="1:6" ht="28.8" x14ac:dyDescent="0.3">
      <c r="A15" s="5" t="s">
        <v>13</v>
      </c>
      <c r="B15" s="5" t="s">
        <v>1014</v>
      </c>
      <c r="C15" s="5" t="s">
        <v>1019</v>
      </c>
      <c r="D15" s="5" t="s">
        <v>1020</v>
      </c>
      <c r="E15" s="5" t="s">
        <v>1021</v>
      </c>
      <c r="F15" s="5" t="s">
        <v>1022</v>
      </c>
    </row>
    <row r="16" spans="1:6" x14ac:dyDescent="0.3">
      <c r="A16" s="5" t="s">
        <v>14</v>
      </c>
      <c r="B16" s="5" t="s">
        <v>966</v>
      </c>
      <c r="C16" s="5" t="s">
        <v>1023</v>
      </c>
      <c r="D16" s="5" t="s">
        <v>1024</v>
      </c>
      <c r="E16" s="5" t="s">
        <v>1025</v>
      </c>
      <c r="F16" s="5" t="s">
        <v>1026</v>
      </c>
    </row>
    <row r="17" spans="1:6" x14ac:dyDescent="0.3">
      <c r="A17" s="5" t="s">
        <v>15</v>
      </c>
      <c r="B17" s="5" t="s">
        <v>966</v>
      </c>
      <c r="C17" s="5" t="s">
        <v>1027</v>
      </c>
      <c r="D17" s="5" t="s">
        <v>1028</v>
      </c>
      <c r="E17" s="5" t="s">
        <v>1029</v>
      </c>
      <c r="F17" s="5" t="s">
        <v>1026</v>
      </c>
    </row>
    <row r="18" spans="1:6" ht="28.8" x14ac:dyDescent="0.3">
      <c r="A18" s="5" t="s">
        <v>16</v>
      </c>
      <c r="B18" s="5" t="s">
        <v>966</v>
      </c>
      <c r="C18" s="5" t="s">
        <v>1015</v>
      </c>
      <c r="D18" s="5" t="s">
        <v>1030</v>
      </c>
      <c r="E18" s="5" t="s">
        <v>1031</v>
      </c>
      <c r="F18" s="5" t="s">
        <v>1032</v>
      </c>
    </row>
    <row r="19" spans="1:6" ht="28.8" x14ac:dyDescent="0.3">
      <c r="A19" s="5" t="s">
        <v>17</v>
      </c>
      <c r="B19" s="5" t="s">
        <v>966</v>
      </c>
      <c r="C19" s="5" t="s">
        <v>1019</v>
      </c>
      <c r="D19" s="5" t="s">
        <v>1033</v>
      </c>
      <c r="E19" s="5" t="s">
        <v>1034</v>
      </c>
      <c r="F19" s="5" t="s">
        <v>1032</v>
      </c>
    </row>
    <row r="20" spans="1:6" ht="28.8" x14ac:dyDescent="0.3">
      <c r="A20" s="5" t="s">
        <v>18</v>
      </c>
      <c r="B20" s="5" t="s">
        <v>966</v>
      </c>
      <c r="C20" s="5" t="s">
        <v>1035</v>
      </c>
      <c r="D20" s="5" t="s">
        <v>1036</v>
      </c>
      <c r="E20" s="5" t="s">
        <v>1037</v>
      </c>
      <c r="F20" s="5" t="s">
        <v>1038</v>
      </c>
    </row>
    <row r="21" spans="1:6" ht="86.4" x14ac:dyDescent="0.3">
      <c r="A21" s="5" t="s">
        <v>19</v>
      </c>
      <c r="B21" s="5" t="s">
        <v>966</v>
      </c>
      <c r="C21" s="5" t="s">
        <v>1039</v>
      </c>
      <c r="D21" s="5" t="s">
        <v>1040</v>
      </c>
      <c r="E21" s="5" t="s">
        <v>1041</v>
      </c>
      <c r="F21" s="5" t="s">
        <v>1042</v>
      </c>
    </row>
    <row r="22" spans="1:6" ht="28.8" x14ac:dyDescent="0.3">
      <c r="A22" s="5" t="s">
        <v>20</v>
      </c>
      <c r="B22" s="5" t="s">
        <v>966</v>
      </c>
      <c r="C22" s="5" t="s">
        <v>1043</v>
      </c>
      <c r="D22" s="5" t="s">
        <v>1044</v>
      </c>
      <c r="E22" s="5" t="s">
        <v>1045</v>
      </c>
      <c r="F22" s="5" t="s">
        <v>1046</v>
      </c>
    </row>
    <row r="23" spans="1:6" ht="57.6" x14ac:dyDescent="0.3">
      <c r="A23" s="5" t="s">
        <v>21</v>
      </c>
      <c r="B23" s="5" t="s">
        <v>966</v>
      </c>
      <c r="C23" s="5" t="s">
        <v>1047</v>
      </c>
      <c r="D23" s="5" t="s">
        <v>1048</v>
      </c>
      <c r="E23" s="5" t="s">
        <v>1049</v>
      </c>
      <c r="F23" s="5" t="s">
        <v>1050</v>
      </c>
    </row>
    <row r="24" spans="1:6" x14ac:dyDescent="0.3">
      <c r="A24" s="5" t="s">
        <v>22</v>
      </c>
      <c r="B24" s="5" t="s">
        <v>971</v>
      </c>
      <c r="C24" s="5" t="s">
        <v>1047</v>
      </c>
      <c r="D24" s="5" t="s">
        <v>1051</v>
      </c>
      <c r="E24" s="5" t="s">
        <v>1052</v>
      </c>
      <c r="F24" s="5" t="s">
        <v>1053</v>
      </c>
    </row>
    <row r="25" spans="1:6" ht="28.8" x14ac:dyDescent="0.3">
      <c r="A25" s="5" t="s">
        <v>23</v>
      </c>
      <c r="B25" s="5" t="s">
        <v>966</v>
      </c>
      <c r="C25" s="5" t="s">
        <v>1047</v>
      </c>
      <c r="D25" s="5" t="s">
        <v>1054</v>
      </c>
      <c r="E25" s="5" t="s">
        <v>1055</v>
      </c>
      <c r="F25" s="5" t="s">
        <v>1056</v>
      </c>
    </row>
    <row r="26" spans="1:6" x14ac:dyDescent="0.3">
      <c r="A26" s="5" t="s">
        <v>24</v>
      </c>
      <c r="B26" s="5" t="s">
        <v>966</v>
      </c>
      <c r="C26" s="5" t="s">
        <v>1057</v>
      </c>
      <c r="D26" s="5" t="s">
        <v>1058</v>
      </c>
      <c r="E26" s="5" t="s">
        <v>994</v>
      </c>
      <c r="F26" s="5" t="s">
        <v>1059</v>
      </c>
    </row>
    <row r="27" spans="1:6" x14ac:dyDescent="0.3">
      <c r="A27" s="5" t="s">
        <v>25</v>
      </c>
      <c r="B27" s="5" t="s">
        <v>966</v>
      </c>
      <c r="C27" s="5" t="s">
        <v>1060</v>
      </c>
      <c r="D27" s="5" t="s">
        <v>1061</v>
      </c>
      <c r="E27" s="5" t="s">
        <v>994</v>
      </c>
      <c r="F27" s="5" t="s">
        <v>1059</v>
      </c>
    </row>
    <row r="28" spans="1:6" ht="28.8" x14ac:dyDescent="0.3">
      <c r="A28" s="5" t="s">
        <v>26</v>
      </c>
      <c r="B28" s="5" t="s">
        <v>966</v>
      </c>
      <c r="C28" s="5" t="s">
        <v>1062</v>
      </c>
      <c r="D28" s="5" t="s">
        <v>1063</v>
      </c>
      <c r="E28" s="5" t="s">
        <v>994</v>
      </c>
      <c r="F28" s="5" t="s">
        <v>1064</v>
      </c>
    </row>
    <row r="30" spans="1:6" x14ac:dyDescent="0.3">
      <c r="A30" s="6" t="s">
        <v>1065</v>
      </c>
    </row>
    <row r="31" spans="1:6" ht="28.8" x14ac:dyDescent="0.3">
      <c r="A31" s="4" t="s">
        <v>1066</v>
      </c>
      <c r="B31" s="4" t="s">
        <v>1067</v>
      </c>
      <c r="C31" s="4" t="s">
        <v>1068</v>
      </c>
      <c r="D31" s="4" t="s">
        <v>1069</v>
      </c>
    </row>
    <row r="32" spans="1:6" ht="86.4" x14ac:dyDescent="0.3">
      <c r="A32" s="5" t="s">
        <v>1070</v>
      </c>
      <c r="B32" s="5" t="s">
        <v>1071</v>
      </c>
      <c r="C32" s="5" t="s">
        <v>1072</v>
      </c>
      <c r="D32" s="5" t="s">
        <v>1073</v>
      </c>
    </row>
    <row r="33" spans="1:4" ht="43.2" x14ac:dyDescent="0.3">
      <c r="A33" s="5" t="s">
        <v>1074</v>
      </c>
      <c r="B33" s="5" t="s">
        <v>1075</v>
      </c>
      <c r="C33" s="5" t="s">
        <v>1072</v>
      </c>
      <c r="D33" s="5" t="s">
        <v>1076</v>
      </c>
    </row>
    <row r="34" spans="1:4" ht="57.6" x14ac:dyDescent="0.3">
      <c r="A34" s="5" t="s">
        <v>1077</v>
      </c>
      <c r="B34" s="5" t="s">
        <v>1078</v>
      </c>
      <c r="C34" s="5" t="s">
        <v>1079</v>
      </c>
      <c r="D34" s="5" t="s">
        <v>1080</v>
      </c>
    </row>
    <row r="35" spans="1:4" ht="57.6" x14ac:dyDescent="0.3">
      <c r="A35" s="5" t="s">
        <v>1081</v>
      </c>
      <c r="B35" s="5" t="s">
        <v>1082</v>
      </c>
      <c r="C35" s="5" t="s">
        <v>1083</v>
      </c>
      <c r="D35" s="5" t="s">
        <v>1084</v>
      </c>
    </row>
    <row r="36" spans="1:4" ht="43.2" x14ac:dyDescent="0.3">
      <c r="A36" s="5" t="s">
        <v>1085</v>
      </c>
      <c r="B36" s="5" t="s">
        <v>1086</v>
      </c>
      <c r="C36" s="5" t="s">
        <v>1087</v>
      </c>
      <c r="D36" s="5" t="s">
        <v>1088</v>
      </c>
    </row>
    <row r="37" spans="1:4" ht="57.6" x14ac:dyDescent="0.3">
      <c r="A37" s="5" t="s">
        <v>1089</v>
      </c>
      <c r="B37" s="5" t="s">
        <v>1090</v>
      </c>
      <c r="C37" s="5" t="s">
        <v>1091</v>
      </c>
      <c r="D37" s="5" t="s">
        <v>1092</v>
      </c>
    </row>
    <row r="38" spans="1:4" ht="86.4" x14ac:dyDescent="0.3">
      <c r="A38" s="5" t="s">
        <v>1093</v>
      </c>
      <c r="B38" s="5" t="s">
        <v>1094</v>
      </c>
      <c r="C38" s="5" t="s">
        <v>1095</v>
      </c>
      <c r="D38" s="5" t="s">
        <v>1096</v>
      </c>
    </row>
    <row r="39" spans="1:4" ht="43.2" x14ac:dyDescent="0.3">
      <c r="A39" s="5" t="s">
        <v>1097</v>
      </c>
      <c r="B39" s="5" t="s">
        <v>1098</v>
      </c>
      <c r="C39" s="5" t="s">
        <v>1072</v>
      </c>
      <c r="D39" s="5" t="s">
        <v>1099</v>
      </c>
    </row>
    <row r="40" spans="1:4" ht="57.6" x14ac:dyDescent="0.3">
      <c r="A40" s="5" t="s">
        <v>1100</v>
      </c>
      <c r="B40" s="5" t="s">
        <v>1101</v>
      </c>
      <c r="C40" s="5" t="s">
        <v>1072</v>
      </c>
      <c r="D40" s="5" t="s">
        <v>1102</v>
      </c>
    </row>
    <row r="41" spans="1:4" ht="57.6" x14ac:dyDescent="0.3">
      <c r="A41" s="5" t="s">
        <v>1103</v>
      </c>
      <c r="B41" s="5" t="s">
        <v>1104</v>
      </c>
      <c r="C41" s="5" t="s">
        <v>1105</v>
      </c>
      <c r="D41" s="5" t="s">
        <v>1106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40233-772B-4D99-9EE5-9B3AAF0162A4}">
  <dimension ref="A1:C60"/>
  <sheetViews>
    <sheetView workbookViewId="0"/>
  </sheetViews>
  <sheetFormatPr defaultRowHeight="14.4" x14ac:dyDescent="0.3"/>
  <cols>
    <col min="1" max="1" width="55.77734375" customWidth="1"/>
    <col min="2" max="2" width="12.77734375" customWidth="1"/>
    <col min="3" max="3" width="40.77734375" customWidth="1"/>
  </cols>
  <sheetData>
    <row r="1" spans="1:3" ht="18" x14ac:dyDescent="0.35">
      <c r="A1" s="7" t="s">
        <v>1107</v>
      </c>
    </row>
    <row r="2" spans="1:3" x14ac:dyDescent="0.3">
      <c r="A2" t="s">
        <v>1108</v>
      </c>
    </row>
    <row r="4" spans="1:3" x14ac:dyDescent="0.3">
      <c r="A4" s="8" t="s">
        <v>1109</v>
      </c>
      <c r="B4" s="8" t="s">
        <v>1110</v>
      </c>
      <c r="C4" s="8" t="s">
        <v>1111</v>
      </c>
    </row>
    <row r="5" spans="1:3" x14ac:dyDescent="0.3">
      <c r="A5" t="s">
        <v>1112</v>
      </c>
      <c r="B5">
        <f>ROWS(ApplicationCatalogue[ApplicationID])</f>
        <v>225</v>
      </c>
    </row>
    <row r="6" spans="1:3" x14ac:dyDescent="0.3">
      <c r="A6" t="s">
        <v>1113</v>
      </c>
      <c r="B6">
        <f>COUNTIF(ApplicationCatalogue[RecordOrigin],"Original")</f>
        <v>182</v>
      </c>
    </row>
    <row r="7" spans="1:3" x14ac:dyDescent="0.3">
      <c r="A7" t="s">
        <v>1114</v>
      </c>
      <c r="B7">
        <f>COUNTIF(ApplicationCatalogue[RecordOrigin],"Opex-added")</f>
        <v>43</v>
      </c>
      <c r="C7" t="s">
        <v>1115</v>
      </c>
    </row>
    <row r="9" spans="1:3" x14ac:dyDescent="0.3">
      <c r="A9" s="8" t="s">
        <v>21</v>
      </c>
      <c r="B9" s="8" t="s">
        <v>1110</v>
      </c>
      <c r="C9" s="8"/>
    </row>
    <row r="10" spans="1:3" x14ac:dyDescent="0.3">
      <c r="A10" t="s">
        <v>40</v>
      </c>
      <c r="B10">
        <f>COUNTIF(ApplicationCatalogue[DataQualityStatus],"Review Required")</f>
        <v>125</v>
      </c>
      <c r="C10" t="s">
        <v>1116</v>
      </c>
    </row>
    <row r="11" spans="1:3" x14ac:dyDescent="0.3">
      <c r="A11" t="s">
        <v>48</v>
      </c>
      <c r="B11">
        <f>COUNTIF(ApplicationCatalogue[DataQualityStatus],"OK")</f>
        <v>100</v>
      </c>
      <c r="C11" t="s">
        <v>1117</v>
      </c>
    </row>
    <row r="13" spans="1:3" x14ac:dyDescent="0.3">
      <c r="A13" s="8" t="s">
        <v>19</v>
      </c>
      <c r="B13" s="8" t="s">
        <v>1110</v>
      </c>
      <c r="C13" s="8"/>
    </row>
    <row r="14" spans="1:3" x14ac:dyDescent="0.3">
      <c r="A14" t="s">
        <v>39</v>
      </c>
      <c r="B14">
        <f>COUNTIF(ApplicationCatalogue[ContractDataStatus],"Complete")</f>
        <v>59</v>
      </c>
    </row>
    <row r="15" spans="1:3" x14ac:dyDescent="0.3">
      <c r="A15" t="s">
        <v>38</v>
      </c>
      <c r="B15">
        <f>COUNTIF(ApplicationCatalogue[ContractDataStatus],"Partial")</f>
        <v>36</v>
      </c>
    </row>
    <row r="16" spans="1:3" x14ac:dyDescent="0.3">
      <c r="A16" t="s">
        <v>47</v>
      </c>
      <c r="B16">
        <f>COUNTIF(ApplicationCatalogue[ContractDataStatus],"No Contract")</f>
        <v>67</v>
      </c>
    </row>
    <row r="17" spans="1:3" x14ac:dyDescent="0.3">
      <c r="A17" t="s">
        <v>62</v>
      </c>
      <c r="B17">
        <f>COUNTIF(ApplicationCatalogue[ContractDataStatus],"Not Stated")</f>
        <v>47</v>
      </c>
    </row>
    <row r="18" spans="1:3" x14ac:dyDescent="0.3">
      <c r="A18" t="s">
        <v>40</v>
      </c>
      <c r="B18">
        <f>COUNTIF(ApplicationCatalogue[ContractDataStatus],"Review Required")</f>
        <v>16</v>
      </c>
    </row>
    <row r="20" spans="1:3" x14ac:dyDescent="0.3">
      <c r="A20" s="8" t="s">
        <v>20</v>
      </c>
      <c r="B20" s="8" t="s">
        <v>1110</v>
      </c>
      <c r="C20" s="8"/>
    </row>
    <row r="21" spans="1:3" x14ac:dyDescent="0.3">
      <c r="A21" t="s">
        <v>39</v>
      </c>
      <c r="B21">
        <f>COUNTIF(ApplicationCatalogue[OwnershipDataStatus],"Complete")</f>
        <v>180</v>
      </c>
    </row>
    <row r="22" spans="1:3" x14ac:dyDescent="0.3">
      <c r="A22" t="s">
        <v>723</v>
      </c>
      <c r="B22">
        <f>COUNTIF(ApplicationCatalogue[OwnershipDataStatus],"Missing Business Owner")</f>
        <v>43</v>
      </c>
    </row>
    <row r="23" spans="1:3" x14ac:dyDescent="0.3">
      <c r="A23" t="s">
        <v>270</v>
      </c>
      <c r="B23">
        <f>COUNTIF(ApplicationCatalogue[OwnershipDataStatus],"Missing IT Owner")</f>
        <v>2</v>
      </c>
    </row>
    <row r="24" spans="1:3" x14ac:dyDescent="0.3">
      <c r="A24" t="s">
        <v>1118</v>
      </c>
      <c r="B24">
        <f>COUNTIF(ApplicationCatalogue[OwnershipDataStatus],"Missing Both")</f>
        <v>0</v>
      </c>
    </row>
    <row r="26" spans="1:3" x14ac:dyDescent="0.3">
      <c r="A26" s="8" t="s">
        <v>4</v>
      </c>
      <c r="B26" s="8" t="s">
        <v>1110</v>
      </c>
      <c r="C26" s="8"/>
    </row>
    <row r="27" spans="1:3" x14ac:dyDescent="0.3">
      <c r="A27" t="s">
        <v>30</v>
      </c>
      <c r="B27">
        <f>COUNTIF(ApplicationCatalogue[PortfolioStatus],"Keep")</f>
        <v>130</v>
      </c>
    </row>
    <row r="28" spans="1:3" x14ac:dyDescent="0.3">
      <c r="A28" t="s">
        <v>199</v>
      </c>
      <c r="B28">
        <f>COUNTIF(ApplicationCatalogue[PortfolioStatus],"Revisit")</f>
        <v>47</v>
      </c>
    </row>
    <row r="29" spans="1:3" x14ac:dyDescent="0.3">
      <c r="A29" t="s">
        <v>104</v>
      </c>
      <c r="B29">
        <f>COUNTIF(ApplicationCatalogue[PortfolioStatus],"Sunset")</f>
        <v>43</v>
      </c>
    </row>
    <row r="30" spans="1:3" x14ac:dyDescent="0.3">
      <c r="A30" t="s">
        <v>82</v>
      </c>
      <c r="B30">
        <f>COUNTIF(ApplicationCatalogue[PortfolioStatus],"Unknown")</f>
        <v>5</v>
      </c>
    </row>
    <row r="32" spans="1:3" x14ac:dyDescent="0.3">
      <c r="A32" s="8" t="s">
        <v>1119</v>
      </c>
      <c r="B32" s="8" t="s">
        <v>1110</v>
      </c>
      <c r="C32" s="8" t="s">
        <v>1120</v>
      </c>
    </row>
    <row r="33" spans="1:3" x14ac:dyDescent="0.3">
      <c r="A33" t="s">
        <v>1121</v>
      </c>
      <c r="B33">
        <f>COUNTIF(ApplicationCatalogue[DataQualityNotes],"*Domain not assigned*")</f>
        <v>43</v>
      </c>
    </row>
    <row r="34" spans="1:3" x14ac:dyDescent="0.3">
      <c r="A34" t="s">
        <v>1122</v>
      </c>
      <c r="B34">
        <f>COUNTIF(ApplicationCatalogue[DataQualityNotes],"*Description missing*")</f>
        <v>44</v>
      </c>
    </row>
    <row r="35" spans="1:3" x14ac:dyDescent="0.3">
      <c r="A35" t="s">
        <v>1123</v>
      </c>
      <c r="B35">
        <f>COUNTIF(ApplicationCatalogue[DataQualityNotes],"*Business Owner missing*")</f>
        <v>43</v>
      </c>
    </row>
    <row r="36" spans="1:3" x14ac:dyDescent="0.3">
      <c r="A36" t="s">
        <v>1124</v>
      </c>
      <c r="B36">
        <f>COUNTIF(ApplicationCatalogue[DataQualityNotes],"*IT Owner missing*")</f>
        <v>2</v>
      </c>
    </row>
    <row r="37" spans="1:3" x14ac:dyDescent="0.3">
      <c r="A37" t="s">
        <v>1125</v>
      </c>
      <c r="B37">
        <f>COUNTIF(ApplicationCatalogue[DataQualityNotes],"*Portfolio status unknown*")</f>
        <v>5</v>
      </c>
    </row>
    <row r="38" spans="1:3" x14ac:dyDescent="0.3">
      <c r="A38" t="s">
        <v>1126</v>
      </c>
      <c r="B38">
        <f>COUNTIF(ApplicationCatalogue[DataQualityNotes],"*Invalid contract date*")</f>
        <v>7</v>
      </c>
    </row>
    <row r="39" spans="1:3" x14ac:dyDescent="0.3">
      <c r="A39" t="s">
        <v>114</v>
      </c>
      <c r="B39">
        <f>COUNTIF(ApplicationCatalogue[DataQualityNotes],"*Contract data not stated*")</f>
        <v>47</v>
      </c>
    </row>
    <row r="40" spans="1:3" x14ac:dyDescent="0.3">
      <c r="A40" t="s">
        <v>41</v>
      </c>
      <c r="B40">
        <f>COUNTIF(ApplicationCatalogue[DataQualityNotes],"*Contract data partial*")</f>
        <v>36</v>
      </c>
    </row>
    <row r="41" spans="1:3" x14ac:dyDescent="0.3">
      <c r="A41" t="s">
        <v>1127</v>
      </c>
      <c r="B41">
        <f>COUNTIF(ApplicationCatalogue[DataQualityNotes],"*Contract data needs review*")</f>
        <v>16</v>
      </c>
    </row>
    <row r="42" spans="1:3" x14ac:dyDescent="0.3">
      <c r="A42" t="s">
        <v>1128</v>
      </c>
      <c r="B42">
        <f>COUNTIF(ApplicationCatalogue[DataQualityNotes],"*Contract End not after Contract Start*")</f>
        <v>2</v>
      </c>
    </row>
    <row r="43" spans="1:3" x14ac:dyDescent="0.3">
      <c r="A43" t="s">
        <v>1129</v>
      </c>
      <c r="B43">
        <f>COUNTIF(ApplicationCatalogue[DataQualityNotes],"*mixed with contract values*")</f>
        <v>0</v>
      </c>
    </row>
    <row r="44" spans="1:3" x14ac:dyDescent="0.3">
      <c r="A44" t="s">
        <v>1130</v>
      </c>
      <c r="B44">
        <f>COUNTIF(ApplicationCatalogue[DataQualityNotes],"*no fixed end date but RollingTerm*")</f>
        <v>2</v>
      </c>
    </row>
    <row r="45" spans="1:3" x14ac:dyDescent="0.3">
      <c r="A45" t="s">
        <v>1131</v>
      </c>
      <c r="B45">
        <f>COUNTIF(ApplicationCatalogue[DataQualityNotes],"*Application name missing*")</f>
        <v>0</v>
      </c>
    </row>
    <row r="47" spans="1:3" x14ac:dyDescent="0.3">
      <c r="A47" s="8" t="s">
        <v>1132</v>
      </c>
      <c r="B47" s="8" t="s">
        <v>1110</v>
      </c>
      <c r="C47" s="8"/>
    </row>
    <row r="48" spans="1:3" x14ac:dyDescent="0.3">
      <c r="A48" t="s">
        <v>1133</v>
      </c>
      <c r="B48">
        <f>COUNTIF(ApplicationCatalogue[DataQualityNotes],"*read as Sunset*")</f>
        <v>1</v>
      </c>
    </row>
    <row r="49" spans="1:3" x14ac:dyDescent="0.3">
      <c r="A49" t="s">
        <v>1134</v>
      </c>
      <c r="B49">
        <f>COUNTIF(ApplicationCatalogue[DataQualityNotes],"*converted from text*")</f>
        <v>1</v>
      </c>
    </row>
    <row r="50" spans="1:3" x14ac:dyDescent="0.3">
      <c r="A50" t="s">
        <v>1135</v>
      </c>
      <c r="B50">
        <f>COUNTIF(ApplicationCatalogue[DataQualityNotes],"*Business SPOC missing*")</f>
        <v>100</v>
      </c>
    </row>
    <row r="51" spans="1:3" x14ac:dyDescent="0.3">
      <c r="A51" t="s">
        <v>1136</v>
      </c>
      <c r="B51">
        <f>COUNTIF(ApplicationCatalogue[DataQualityNotes],"*Possible duplicate*")</f>
        <v>4</v>
      </c>
    </row>
    <row r="53" spans="1:3" x14ac:dyDescent="0.3">
      <c r="A53" s="8" t="s">
        <v>1137</v>
      </c>
      <c r="B53" s="8" t="s">
        <v>1110</v>
      </c>
      <c r="C53" s="8"/>
    </row>
    <row r="54" spans="1:3" x14ac:dyDescent="0.3">
      <c r="A54" t="s">
        <v>1138</v>
      </c>
      <c r="B54">
        <f>COUNT(ApplicationCatalogue[ContractStartDate])</f>
        <v>85</v>
      </c>
    </row>
    <row r="55" spans="1:3" x14ac:dyDescent="0.3">
      <c r="A55" t="s">
        <v>1139</v>
      </c>
      <c r="B55">
        <f>COUNT(ApplicationCatalogue[ContractEndDate])</f>
        <v>72</v>
      </c>
    </row>
    <row r="56" spans="1:3" x14ac:dyDescent="0.3">
      <c r="A56" t="s">
        <v>1140</v>
      </c>
      <c r="B56">
        <f>COUNTIF(ApplicationCatalogue[ContractDateIssue],"?*")</f>
        <v>7</v>
      </c>
      <c r="C56" t="s">
        <v>1141</v>
      </c>
    </row>
    <row r="58" spans="1:3" x14ac:dyDescent="0.3">
      <c r="A58" s="8" t="s">
        <v>1142</v>
      </c>
      <c r="B58" s="8" t="s">
        <v>1143</v>
      </c>
      <c r="C58" s="8"/>
    </row>
    <row r="59" spans="1:3" x14ac:dyDescent="0.3">
      <c r="A59" t="s">
        <v>1144</v>
      </c>
      <c r="B59" t="str">
        <f>IF(SUMPRODUCT(1/COUNTIF(ApplicationCatalogue[ApplicationID],ApplicationCatalogue[ApplicationID]))=ROWS(ApplicationCatalogue[ApplicationID]),"PASS","FAIL")</f>
        <v>PASS</v>
      </c>
    </row>
    <row r="60" spans="1:3" x14ac:dyDescent="0.3">
      <c r="A60" t="s">
        <v>1145</v>
      </c>
      <c r="B60" t="str">
        <f>IF(ROWS(SourceValues[ApplicationID])=ROWS(ApplicationCatalogue[ApplicationID]),"PASS","FAIL")</f>
        <v>PASS</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9DD81-55FD-4922-B936-FF6BA378294F}">
  <dimension ref="A1:A15"/>
  <sheetViews>
    <sheetView workbookViewId="0"/>
  </sheetViews>
  <sheetFormatPr defaultRowHeight="14.4" x14ac:dyDescent="0.3"/>
  <cols>
    <col min="1" max="1" width="130.77734375" customWidth="1"/>
  </cols>
  <sheetData>
    <row r="1" spans="1:1" ht="18" x14ac:dyDescent="0.35">
      <c r="A1" s="7" t="s">
        <v>1146</v>
      </c>
    </row>
    <row r="3" spans="1:1" x14ac:dyDescent="0.3">
      <c r="A3" t="s">
        <v>1147</v>
      </c>
    </row>
    <row r="4" spans="1:1" x14ac:dyDescent="0.3">
      <c r="A4" t="s">
        <v>1148</v>
      </c>
    </row>
    <row r="6" spans="1:1" x14ac:dyDescent="0.3">
      <c r="A6" s="6" t="s">
        <v>1149</v>
      </c>
    </row>
    <row r="7" spans="1:1" x14ac:dyDescent="0.3">
      <c r="A7" t="s">
        <v>1150</v>
      </c>
    </row>
    <row r="8" spans="1:1" x14ac:dyDescent="0.3">
      <c r="A8" t="s">
        <v>1151</v>
      </c>
    </row>
    <row r="9" spans="1:1" x14ac:dyDescent="0.3">
      <c r="A9" t="s">
        <v>1152</v>
      </c>
    </row>
    <row r="10" spans="1:1" x14ac:dyDescent="0.3">
      <c r="A10" t="s">
        <v>1153</v>
      </c>
    </row>
    <row r="12" spans="1:1" x14ac:dyDescent="0.3">
      <c r="A12" s="6" t="s">
        <v>1154</v>
      </c>
    </row>
    <row r="13" spans="1:1" x14ac:dyDescent="0.3">
      <c r="A13" t="s">
        <v>1155</v>
      </c>
    </row>
    <row r="14" spans="1:1" x14ac:dyDescent="0.3">
      <c r="A14" t="s">
        <v>1156</v>
      </c>
    </row>
    <row r="15" spans="1:1" x14ac:dyDescent="0.3">
      <c r="A15" t="s">
        <v>1157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ApplicationCatalogue</vt:lpstr>
      <vt:lpstr>Source_Values</vt:lpstr>
      <vt:lpstr>Data Dictionary</vt:lpstr>
      <vt:lpstr>Quality Summary</vt:lpstr>
      <vt:lpstr>Read 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Evers, Wanjun</dc:creator>
  <cp:lastModifiedBy>Evers, Wanjun</cp:lastModifiedBy>
  <dcterms:created xsi:type="dcterms:W3CDTF">2026-10-21T11:56:50Z</dcterms:created>
  <dcterms:modified xsi:type="dcterms:W3CDTF">2026-10-26T15:25:22Z</dcterms:modified>
</cp:coreProperties>
</file>